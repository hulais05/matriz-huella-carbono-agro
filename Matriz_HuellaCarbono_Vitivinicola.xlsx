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ADA" sheetId="1" state="visible" r:id="rId1"/>
    <sheet xmlns:r="http://schemas.openxmlformats.org/officeDocument/2006/relationships" name="S1 MAQUINARIA" sheetId="2" state="visible" r:id="rId2"/>
    <sheet xmlns:r="http://schemas.openxmlformats.org/officeDocument/2006/relationships" name="S1 ENERGIA FIJA" sheetId="3" state="visible" r:id="rId3"/>
    <sheet xmlns:r="http://schemas.openxmlformats.org/officeDocument/2006/relationships" name="S1 VIÑEDO" sheetId="4" state="visible" r:id="rId4"/>
    <sheet xmlns:r="http://schemas.openxmlformats.org/officeDocument/2006/relationships" name="S1 REFRIGERANTES" sheetId="5" state="visible" r:id="rId5"/>
    <sheet xmlns:r="http://schemas.openxmlformats.org/officeDocument/2006/relationships" name="FERMENTACION (INFO)" sheetId="6" state="visible" r:id="rId6"/>
    <sheet xmlns:r="http://schemas.openxmlformats.org/officeDocument/2006/relationships" name="S2 ELECTRICIDAD" sheetId="7" state="visible" r:id="rId7"/>
    <sheet xmlns:r="http://schemas.openxmlformats.org/officeDocument/2006/relationships" name="S3 ENVASES" sheetId="8" state="visible" r:id="rId8"/>
    <sheet xmlns:r="http://schemas.openxmlformats.org/officeDocument/2006/relationships" name="S3 INSUMOS" sheetId="9" state="visible" r:id="rId9"/>
    <sheet xmlns:r="http://schemas.openxmlformats.org/officeDocument/2006/relationships" name="S3 TRANSPORTE" sheetId="10" state="visible" r:id="rId10"/>
    <sheet xmlns:r="http://schemas.openxmlformats.org/officeDocument/2006/relationships" name="FACTORES EMISION" sheetId="11" state="visible" r:id="rId11"/>
    <sheet xmlns:r="http://schemas.openxmlformats.org/officeDocument/2006/relationships" name="RESUMEN" sheetId="12" state="visible" r:id="rId1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FFFFFFFF"/>
      <sz val="16"/>
    </font>
    <font>
      <b val="1"/>
      <color rgb="FFFFFFFF"/>
      <sz val="11"/>
    </font>
    <font>
      <b val="1"/>
      <color rgb="FF000000"/>
      <sz val="10"/>
    </font>
    <font>
      <color rgb="FF000000"/>
      <sz val="10"/>
    </font>
    <font>
      <color rgb="FF1F3864"/>
      <sz val="10"/>
    </font>
    <font>
      <b val="1"/>
      <color rgb="FFFFFFFF"/>
      <sz val="10"/>
    </font>
    <font>
      <i val="1"/>
      <color rgb="FF7F6000"/>
      <sz val="8"/>
    </font>
    <font>
      <b val="1"/>
      <color rgb="FFFFFFFF"/>
      <sz val="13"/>
    </font>
    <font>
      <i val="1"/>
      <color rgb="FF375623"/>
      <sz val="10"/>
    </font>
    <font>
      <b val="1"/>
      <color rgb="FFFFFFFF"/>
      <sz val="14"/>
    </font>
    <font>
      <b val="1"/>
      <color rgb="FFFFFFFF"/>
      <sz val="12"/>
    </font>
  </fonts>
  <fills count="17">
    <fill>
      <patternFill/>
    </fill>
    <fill>
      <patternFill patternType="gray125"/>
    </fill>
    <fill>
      <patternFill patternType="solid">
        <fgColor rgb="FF4C0F2E"/>
      </patternFill>
    </fill>
    <fill>
      <patternFill patternType="solid">
        <fgColor rgb="FF1F3864"/>
      </patternFill>
    </fill>
    <fill>
      <patternFill patternType="solid">
        <fgColor rgb="FFF2F2F2"/>
      </patternFill>
    </fill>
    <fill>
      <patternFill patternType="solid">
        <fgColor rgb="FFFFFF99"/>
      </patternFill>
    </fill>
    <fill>
      <patternFill patternType="solid">
        <fgColor rgb="FFBDD7EE"/>
      </patternFill>
    </fill>
    <fill>
      <patternFill patternType="solid">
        <fgColor rgb="FFFFC7CE"/>
      </patternFill>
    </fill>
    <fill>
      <patternFill patternType="solid">
        <fgColor rgb="FFDCE6F1"/>
      </patternFill>
    </fill>
    <fill>
      <patternFill patternType="solid">
        <fgColor rgb="FFE4DFEC"/>
      </patternFill>
    </fill>
    <fill>
      <patternFill patternType="solid">
        <fgColor rgb="FFE2EFDA"/>
      </patternFill>
    </fill>
    <fill>
      <patternFill patternType="solid">
        <fgColor rgb="FFFFF2CC"/>
      </patternFill>
    </fill>
    <fill>
      <patternFill patternType="solid">
        <fgColor rgb="FFC00000"/>
      </patternFill>
    </fill>
    <fill>
      <patternFill patternType="solid">
        <fgColor rgb="FF548235"/>
      </patternFill>
    </fill>
    <fill>
      <patternFill patternType="solid">
        <fgColor rgb="FF0070C0"/>
      </patternFill>
    </fill>
    <fill>
      <patternFill patternType="solid">
        <fgColor rgb="FF7030A0"/>
      </patternFill>
    </fill>
    <fill>
      <patternFill patternType="solid">
        <fgColor rgb="FFED7D31"/>
      </patternFill>
    </fill>
  </fills>
  <borders count="6">
    <border>
      <left/>
      <right/>
      <top/>
      <bottom/>
      <diagonal/>
    </border>
    <border>
      <left style="thin">
        <color rgb="FF000000"/>
      </left>
      <right style="thin">
        <color rgb="FF000000"/>
      </right>
      <top style="thin">
        <color rgb="FF000000"/>
      </top>
      <bottom style="thin">
        <color rgb="FF000000"/>
      </bottom>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9">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5" borderId="1" applyAlignment="1" pivotButton="0" quotePrefix="0" xfId="0">
      <alignment horizontal="center" vertical="center" wrapText="1"/>
    </xf>
    <xf numFmtId="0" fontId="0" fillId="5" borderId="1" pivotButton="0" quotePrefix="0" xfId="0"/>
    <xf numFmtId="0" fontId="5" fillId="6" borderId="1" applyAlignment="1" pivotButton="0" quotePrefix="0" xfId="0">
      <alignment horizontal="center" vertical="center" wrapText="1"/>
    </xf>
    <xf numFmtId="0" fontId="0" fillId="6" borderId="1" pivotButton="0" quotePrefix="0" xfId="0"/>
    <xf numFmtId="0" fontId="6" fillId="3" borderId="1" applyAlignment="1" pivotButton="0" quotePrefix="0" xfId="0">
      <alignment horizontal="center" vertical="center" wrapText="1"/>
    </xf>
    <xf numFmtId="0" fontId="0" fillId="0" borderId="4" pivotButton="0" quotePrefix="0" xfId="0"/>
    <xf numFmtId="0" fontId="0" fillId="0" borderId="5" pivotButton="0" quotePrefix="0" xfId="0"/>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4" fillId="4" borderId="1" applyAlignment="1" pivotButton="0" quotePrefix="0" xfId="0">
      <alignment horizontal="left" vertical="center" wrapText="1"/>
    </xf>
    <xf numFmtId="0" fontId="0" fillId="4" borderId="1" pivotButton="0" quotePrefix="0" xfId="0"/>
    <xf numFmtId="0" fontId="3" fillId="8" borderId="1" applyAlignment="1" pivotButton="0" quotePrefix="0" xfId="0">
      <alignment horizontal="center" vertical="center" wrapText="1"/>
    </xf>
    <xf numFmtId="0" fontId="3" fillId="8" borderId="1" applyAlignment="1" pivotButton="0" quotePrefix="0" xfId="0">
      <alignment horizontal="left" vertical="center" wrapText="1"/>
    </xf>
    <xf numFmtId="0" fontId="3" fillId="9" borderId="1" applyAlignment="1" pivotButton="0" quotePrefix="0" xfId="0">
      <alignment horizontal="center" vertical="center" wrapText="1"/>
    </xf>
    <xf numFmtId="0" fontId="3" fillId="9" borderId="1" applyAlignment="1" pivotButton="0" quotePrefix="0" xfId="0">
      <alignment horizontal="left" vertical="center" wrapText="1"/>
    </xf>
    <xf numFmtId="0" fontId="3" fillId="10" borderId="1" applyAlignment="1" pivotButton="0" quotePrefix="0" xfId="0">
      <alignment horizontal="center" vertical="center" wrapText="1"/>
    </xf>
    <xf numFmtId="0" fontId="3" fillId="10" borderId="1" applyAlignment="1" pivotButton="0" quotePrefix="0" xfId="0">
      <alignment horizontal="left" vertical="center" wrapText="1"/>
    </xf>
    <xf numFmtId="0" fontId="7" fillId="11" borderId="1" applyAlignment="1" pivotButton="0" quotePrefix="0" xfId="0">
      <alignment horizontal="left" vertical="center" wrapText="1"/>
    </xf>
    <xf numFmtId="0" fontId="8" fillId="12" borderId="1" applyAlignment="1" pivotButton="0" quotePrefix="0" xfId="0">
      <alignment horizontal="center" vertical="center" wrapText="1"/>
    </xf>
    <xf numFmtId="0" fontId="4" fillId="4" borderId="1" applyAlignment="1" pivotButton="0" quotePrefix="0" xfId="0">
      <alignment horizontal="center" vertical="center" wrapText="1"/>
    </xf>
    <xf numFmtId="0" fontId="9" fillId="10" borderId="1" applyAlignment="1" pivotButton="0" quotePrefix="0" xfId="0">
      <alignment horizontal="center" vertical="center" wrapText="1"/>
    </xf>
    <xf numFmtId="0" fontId="2" fillId="12" borderId="1" applyAlignment="1" pivotButton="0" quotePrefix="0" xfId="0">
      <alignment horizontal="center" vertical="center" wrapText="1"/>
    </xf>
    <xf numFmtId="0" fontId="8" fillId="13" borderId="1" applyAlignment="1" pivotButton="0" quotePrefix="0" xfId="0">
      <alignment horizontal="center" vertical="center" wrapText="1"/>
    </xf>
    <xf numFmtId="0" fontId="8" fillId="14" borderId="1" applyAlignment="1" pivotButton="0" quotePrefix="0" xfId="0">
      <alignment horizontal="center" vertical="center" wrapText="1"/>
    </xf>
    <xf numFmtId="0" fontId="2" fillId="14" borderId="1" applyAlignment="1" pivotButton="0" quotePrefix="0" xfId="0">
      <alignment horizontal="center" vertical="center" wrapText="1"/>
    </xf>
    <xf numFmtId="0" fontId="8" fillId="15" borderId="1" applyAlignment="1" pivotButton="0" quotePrefix="0" xfId="0">
      <alignment horizontal="center" vertical="center" wrapText="1"/>
    </xf>
    <xf numFmtId="0" fontId="2" fillId="15" borderId="1" applyAlignment="1" pivotButton="0" quotePrefix="0" xfId="0">
      <alignment horizontal="center" vertical="center" wrapText="1"/>
    </xf>
    <xf numFmtId="0" fontId="8" fillId="3" borderId="1" applyAlignment="1" pivotButton="0" quotePrefix="0" xfId="0">
      <alignment horizontal="center" vertical="center" wrapText="1"/>
    </xf>
    <xf numFmtId="0" fontId="10" fillId="1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11" fillId="16" borderId="1" applyAlignment="1" pivotButton="0" quotePrefix="0" xfId="0">
      <alignment horizontal="center" vertical="center" wrapText="1"/>
    </xf>
    <xf numFmtId="0" fontId="2" fillId="1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C0F2E"/>
    <outlinePr summaryBelow="1" summaryRight="1"/>
    <pageSetUpPr/>
  </sheetPr>
  <dimension ref="A1:I30"/>
  <sheetViews>
    <sheetView workbookViewId="0">
      <selection activeCell="A1" sqref="A1"/>
    </sheetView>
  </sheetViews>
  <sheetFormatPr baseColWidth="8" defaultRowHeight="15"/>
  <cols>
    <col width="38" customWidth="1" min="1" max="1"/>
    <col width="16" customWidth="1" min="2" max="2"/>
    <col width="16" customWidth="1" min="3" max="3"/>
    <col width="16" customWidth="1" min="4" max="4"/>
    <col width="16" customWidth="1" min="5" max="5"/>
    <col width="30" customWidth="1" min="6" max="6"/>
    <col width="14" customWidth="1" min="7" max="7"/>
    <col width="14" customWidth="1" min="8" max="8"/>
    <col width="14" customWidth="1" min="9" max="9"/>
  </cols>
  <sheetData>
    <row r="1" ht="42" customHeight="1">
      <c r="A1" s="1" t="inlineStr">
        <is>
          <t>MATRIZ DE RECOPILACIÓN DE DATOS — HUELLA DE CARBONO CORPORATIVA</t>
        </is>
      </c>
    </row>
    <row r="2" ht="26" customHeight="1">
      <c r="A2" s="2" t="inlineStr">
        <is>
          <t>GHG Protocol (Corporate Standard) + ISO 14064-1:2018 + Protocolo OIV GEI  |  Sector Vitivinícola</t>
        </is>
      </c>
    </row>
    <row r="4">
      <c r="A4" s="3" t="inlineStr">
        <is>
          <t>IDENTIFICACIÓN DE LA BODEGA</t>
        </is>
      </c>
      <c r="F4" s="3" t="inlineStr">
        <is>
          <t>LÍMITES DEL INVENTARIO</t>
        </is>
      </c>
    </row>
    <row r="5">
      <c r="A5" s="4" t="inlineStr">
        <is>
          <t>Razón Social / Nombre de la bodega</t>
        </is>
      </c>
      <c r="B5" s="5" t="n"/>
      <c r="C5" s="6" t="n"/>
      <c r="D5" s="6" t="n"/>
      <c r="E5" s="6" t="n"/>
      <c r="F5" s="4" t="inlineStr">
        <is>
          <t>Enfoque organizacional</t>
        </is>
      </c>
      <c r="G5" s="7" t="inlineStr">
        <is>
          <t>Control Operacional</t>
        </is>
      </c>
      <c r="H5" s="8" t="n"/>
      <c r="I5" s="8" t="n"/>
    </row>
    <row r="6">
      <c r="A6" s="4" t="inlineStr">
        <is>
          <t>CUIT</t>
        </is>
      </c>
      <c r="B6" s="5" t="n"/>
      <c r="C6" s="6" t="n"/>
      <c r="D6" s="6" t="n"/>
      <c r="E6" s="6" t="n"/>
      <c r="F6" s="4" t="inlineStr">
        <is>
          <t>Alcance cubierto</t>
        </is>
      </c>
      <c r="G6" s="7" t="inlineStr">
        <is>
          <t>Scope 1 + 2 + 3 (envases, insumos, transporte)</t>
        </is>
      </c>
      <c r="H6" s="8" t="n"/>
      <c r="I6" s="8" t="n"/>
    </row>
    <row r="7">
      <c r="A7" s="4" t="inlineStr">
        <is>
          <t>Provincia / Departamento</t>
        </is>
      </c>
      <c r="B7" s="5" t="n"/>
      <c r="C7" s="6" t="n"/>
      <c r="D7" s="6" t="n"/>
      <c r="E7" s="6" t="n"/>
      <c r="F7" s="4" t="inlineStr">
        <is>
          <t>CO2 de fermentación</t>
        </is>
      </c>
      <c r="G7" s="7" t="inlineStr">
        <is>
          <t>Biogénico — reportado por separado (OIV/FIVS)</t>
        </is>
      </c>
      <c r="H7" s="8" t="n"/>
      <c r="I7" s="8" t="n"/>
    </row>
    <row r="8">
      <c r="A8" s="4" t="inlineStr">
        <is>
          <t>Dirección de la bodega</t>
        </is>
      </c>
      <c r="B8" s="5" t="n"/>
      <c r="C8" s="6" t="n"/>
      <c r="D8" s="6" t="n"/>
      <c r="E8" s="6" t="n"/>
      <c r="F8" s="4" t="inlineStr">
        <is>
          <t>GWP utilizados</t>
        </is>
      </c>
      <c r="G8" s="7" t="inlineStr">
        <is>
          <t>IPCC AR6 (2021) — horizonte 100 años</t>
        </is>
      </c>
      <c r="H8" s="8" t="n"/>
      <c r="I8" s="8" t="n"/>
    </row>
    <row r="9">
      <c r="A9" s="4" t="inlineStr">
        <is>
          <t>Superficie de viñedo propio (ha)</t>
        </is>
      </c>
      <c r="B9" s="5" t="n">
        <v>25</v>
      </c>
      <c r="C9" s="6" t="n"/>
      <c r="D9" s="6" t="n"/>
      <c r="E9" s="6" t="n"/>
      <c r="F9" s="4" t="inlineStr">
        <is>
          <t>FE electricidad</t>
        </is>
      </c>
      <c r="G9" s="7" t="inlineStr">
        <is>
          <t>Factor Red Argentina (CAMMESA)</t>
        </is>
      </c>
      <c r="H9" s="8" t="n"/>
      <c r="I9" s="8" t="n"/>
    </row>
    <row r="10">
      <c r="A10" s="4" t="inlineStr">
        <is>
          <t>Producción anual de vino (litros)</t>
        </is>
      </c>
      <c r="B10" s="5" t="n">
        <v>180000</v>
      </c>
      <c r="C10" s="6" t="n"/>
      <c r="D10" s="6" t="n"/>
      <c r="E10" s="6" t="n"/>
      <c r="F10" s="4" t="inlineStr">
        <is>
          <t>Factor red eléctrica (kg CO2e/kWh)</t>
        </is>
      </c>
      <c r="G10" s="7" t="inlineStr">
        <is>
          <t>0,383 (CAMMESA 2023 — verificar valor vigente)</t>
        </is>
      </c>
      <c r="H10" s="8" t="n"/>
      <c r="I10" s="8" t="n"/>
    </row>
    <row r="11">
      <c r="A11" s="4" t="inlineStr">
        <is>
          <t>Botellas producidas por año (0,75 L)</t>
        </is>
      </c>
      <c r="B11" s="5" t="n">
        <v>240000</v>
      </c>
      <c r="C11" s="6" t="n"/>
      <c r="D11" s="6" t="n"/>
      <c r="E11" s="6" t="n"/>
      <c r="F11" s="4" t="inlineStr">
        <is>
          <t>Unidad funcional de intensidad</t>
        </is>
      </c>
      <c r="G11" s="7" t="inlineStr">
        <is>
          <t>Botella de 0,75 L (intensidad organizacional)</t>
        </is>
      </c>
      <c r="H11" s="8" t="n"/>
      <c r="I11" s="8" t="n"/>
    </row>
    <row r="12">
      <c r="A12" s="4" t="inlineStr">
        <is>
          <t>Año del inventario</t>
        </is>
      </c>
      <c r="B12" s="5" t="n"/>
      <c r="C12" s="6" t="n"/>
      <c r="D12" s="6" t="n"/>
      <c r="E12" s="6" t="n"/>
      <c r="F12" s="4" t="inlineStr">
        <is>
          <t>Exclusiones</t>
        </is>
      </c>
      <c r="G12" s="7" t="inlineStr">
        <is>
          <t>Uso y fin de vida del producto (cradle-to-gate)</t>
        </is>
      </c>
      <c r="H12" s="8" t="n"/>
      <c r="I12" s="8" t="n"/>
    </row>
    <row r="13">
      <c r="A13" s="4" t="inlineStr">
        <is>
          <t>Año base del inventario</t>
        </is>
      </c>
      <c r="B13" s="5" t="n"/>
      <c r="C13" s="6" t="n"/>
      <c r="D13" s="6" t="n"/>
      <c r="E13" s="6" t="n"/>
    </row>
    <row r="14">
      <c r="A14" s="4" t="inlineStr">
        <is>
          <t>Responsable del inventario</t>
        </is>
      </c>
      <c r="B14" s="5" t="n"/>
      <c r="C14" s="6" t="n"/>
      <c r="D14" s="6" t="n"/>
      <c r="E14" s="6" t="n"/>
    </row>
    <row r="15">
      <c r="A15" s="4" t="inlineStr">
        <is>
          <t>Correo electrónico</t>
        </is>
      </c>
      <c r="B15" s="5" t="n"/>
      <c r="C15" s="6" t="n"/>
      <c r="D15" s="6" t="n"/>
      <c r="E15" s="6" t="n"/>
    </row>
    <row r="16">
      <c r="A16" s="4" t="inlineStr">
        <is>
          <t>Teléfono de contacto</t>
        </is>
      </c>
      <c r="B16" s="5" t="n"/>
      <c r="C16" s="6" t="n"/>
      <c r="D16" s="6" t="n"/>
      <c r="E16" s="6" t="n"/>
    </row>
    <row r="18">
      <c r="A18" s="3" t="inlineStr">
        <is>
          <t>FUENTES DE EMISIÓN DECLARADAS</t>
        </is>
      </c>
    </row>
    <row r="19">
      <c r="A19" s="9" t="inlineStr">
        <is>
          <t>Código</t>
        </is>
      </c>
      <c r="B19" s="9" t="inlineStr">
        <is>
          <t>Fuente</t>
        </is>
      </c>
      <c r="C19" s="9" t="inlineStr">
        <is>
          <t>Descripción</t>
        </is>
      </c>
      <c r="D19" s="10" t="n"/>
      <c r="E19" s="10" t="n"/>
      <c r="F19" s="10" t="n"/>
      <c r="G19" s="10" t="n"/>
      <c r="H19" s="10" t="n"/>
      <c r="I19" s="11" t="n"/>
    </row>
    <row r="20">
      <c r="A20" s="12" t="inlineStr">
        <is>
          <t>S1-1</t>
        </is>
      </c>
      <c r="B20" s="13" t="inlineStr">
        <is>
          <t>Combustión móvil</t>
        </is>
      </c>
      <c r="C20" s="14" t="inlineStr">
        <is>
          <t>Tractores de viñedo, pulverizadora, utilitarios y camión propio</t>
        </is>
      </c>
      <c r="D20" s="15" t="n"/>
      <c r="E20" s="15" t="n"/>
      <c r="F20" s="15" t="n"/>
      <c r="G20" s="15" t="n"/>
      <c r="H20" s="15" t="n"/>
      <c r="I20" s="15" t="n"/>
    </row>
    <row r="21">
      <c r="A21" s="12" t="inlineStr">
        <is>
          <t>S1-2</t>
        </is>
      </c>
      <c r="B21" s="13" t="inlineStr">
        <is>
          <t>Combustión estacionaria</t>
        </is>
      </c>
      <c r="C21" s="14" t="inlineStr">
        <is>
          <t>Caldera, generador y agua caliente sanitaria (gasoil / GN / GLP)</t>
        </is>
      </c>
      <c r="D21" s="15" t="n"/>
      <c r="E21" s="15" t="n"/>
      <c r="F21" s="15" t="n"/>
      <c r="G21" s="15" t="n"/>
      <c r="H21" s="15" t="n"/>
      <c r="I21" s="15" t="n"/>
    </row>
    <row r="22">
      <c r="A22" s="12" t="inlineStr">
        <is>
          <t>S1-3</t>
        </is>
      </c>
      <c r="B22" s="13" t="inlineStr">
        <is>
          <t>Viñedo — N2O de suelos</t>
        </is>
      </c>
      <c r="C22" s="14" t="inlineStr">
        <is>
          <t>Fertilización nitrogenada, urea y enmiendas calcáreas</t>
        </is>
      </c>
      <c r="D22" s="15" t="n"/>
      <c r="E22" s="15" t="n"/>
      <c r="F22" s="15" t="n"/>
      <c r="G22" s="15" t="n"/>
      <c r="H22" s="15" t="n"/>
      <c r="I22" s="15" t="n"/>
    </row>
    <row r="23">
      <c r="A23" s="12" t="inlineStr">
        <is>
          <t>S1-4</t>
        </is>
      </c>
      <c r="B23" s="13" t="inlineStr">
        <is>
          <t>Refrigerantes</t>
        </is>
      </c>
      <c r="C23" s="14" t="inlineStr">
        <is>
          <t>Fugas de gases en frío de bodega (tanques, cámaras, aire acond.)</t>
        </is>
      </c>
      <c r="D23" s="15" t="n"/>
      <c r="E23" s="15" t="n"/>
      <c r="F23" s="15" t="n"/>
      <c r="G23" s="15" t="n"/>
      <c r="H23" s="15" t="n"/>
      <c r="I23" s="15" t="n"/>
    </row>
    <row r="24">
      <c r="A24" s="16" t="inlineStr">
        <is>
          <t>S2-1</t>
        </is>
      </c>
      <c r="B24" s="17" t="inlineStr">
        <is>
          <t>Electricidad de red</t>
        </is>
      </c>
      <c r="C24" s="14" t="inlineStr">
        <is>
          <t>Bombas de frío, prensas, embotellado, iluminación, riego</t>
        </is>
      </c>
      <c r="D24" s="15" t="n"/>
      <c r="E24" s="15" t="n"/>
      <c r="F24" s="15" t="n"/>
      <c r="G24" s="15" t="n"/>
      <c r="H24" s="15" t="n"/>
      <c r="I24" s="15" t="n"/>
    </row>
    <row r="25">
      <c r="A25" s="18" t="inlineStr">
        <is>
          <t>S3-1</t>
        </is>
      </c>
      <c r="B25" s="19" t="inlineStr">
        <is>
          <t>Envases y embalajes</t>
        </is>
      </c>
      <c r="C25" s="14" t="inlineStr">
        <is>
          <t>Botellas, tapones, cápsulas, etiquetas y cajas (fabricación)</t>
        </is>
      </c>
      <c r="D25" s="15" t="n"/>
      <c r="E25" s="15" t="n"/>
      <c r="F25" s="15" t="n"/>
      <c r="G25" s="15" t="n"/>
      <c r="H25" s="15" t="n"/>
      <c r="I25" s="15" t="n"/>
    </row>
    <row r="26">
      <c r="A26" s="18" t="inlineStr">
        <is>
          <t>S3-2</t>
        </is>
      </c>
      <c r="B26" s="19" t="inlineStr">
        <is>
          <t>Insumos upstream</t>
        </is>
      </c>
      <c r="C26" s="14" t="inlineStr">
        <is>
          <t>Fertilizantes y agroquímicos (fabricación); enológicos (registro)</t>
        </is>
      </c>
      <c r="D26" s="15" t="n"/>
      <c r="E26" s="15" t="n"/>
      <c r="F26" s="15" t="n"/>
      <c r="G26" s="15" t="n"/>
      <c r="H26" s="15" t="n"/>
      <c r="I26" s="15" t="n"/>
    </row>
    <row r="27">
      <c r="A27" s="18" t="inlineStr">
        <is>
          <t>S3-3</t>
        </is>
      </c>
      <c r="B27" s="19" t="inlineStr">
        <is>
          <t>Transporte y distribución</t>
        </is>
      </c>
      <c r="C27" s="14" t="inlineStr">
        <is>
          <t>Insumos a bodega, distribución nacional y exportación</t>
        </is>
      </c>
      <c r="D27" s="15" t="n"/>
      <c r="E27" s="15" t="n"/>
      <c r="F27" s="15" t="n"/>
      <c r="G27" s="15" t="n"/>
      <c r="H27" s="15" t="n"/>
      <c r="I27" s="15" t="n"/>
    </row>
    <row r="28">
      <c r="A28" s="20" t="inlineStr">
        <is>
          <t>INFO</t>
        </is>
      </c>
      <c r="B28" s="21" t="inlineStr">
        <is>
          <t>CO2 de fermentación</t>
        </is>
      </c>
      <c r="C28" s="14" t="inlineStr">
        <is>
          <t>Biogénico — se cuantifica y reporta fuera del total</t>
        </is>
      </c>
      <c r="D28" s="15" t="n"/>
      <c r="E28" s="15" t="n"/>
      <c r="F28" s="15" t="n"/>
      <c r="G28" s="15" t="n"/>
      <c r="H28" s="15" t="n"/>
      <c r="I28" s="15" t="n"/>
    </row>
    <row r="30">
      <c r="A30" s="22" t="inlineStr">
        <is>
          <t>Celdas AMARILLAS: dato a relevar en la bodega. Celdas CELESTES: factor de referencia (no modificar). Celdas VERDES: cálculo automático. Las emisiones se expresan en tCO2e/año con GWP del IPCC AR6.</t>
        </is>
      </c>
    </row>
  </sheetData>
  <mergeCells count="36">
    <mergeCell ref="C23:I23"/>
    <mergeCell ref="B9:E9"/>
    <mergeCell ref="G10:I10"/>
    <mergeCell ref="G6:I6"/>
    <mergeCell ref="B6:E6"/>
    <mergeCell ref="B15:E15"/>
    <mergeCell ref="A18:I18"/>
    <mergeCell ref="B5:E5"/>
    <mergeCell ref="C19:I19"/>
    <mergeCell ref="C28:I28"/>
    <mergeCell ref="A2:I2"/>
    <mergeCell ref="G5:I5"/>
    <mergeCell ref="F4:I4"/>
    <mergeCell ref="B16:E16"/>
    <mergeCell ref="B7:E7"/>
    <mergeCell ref="C24:I24"/>
    <mergeCell ref="C26:I26"/>
    <mergeCell ref="B12:E12"/>
    <mergeCell ref="C20:I20"/>
    <mergeCell ref="G9:I9"/>
    <mergeCell ref="B11:E11"/>
    <mergeCell ref="G12:I12"/>
    <mergeCell ref="C25:I25"/>
    <mergeCell ref="A30:I30"/>
    <mergeCell ref="B14:E14"/>
    <mergeCell ref="G11:I11"/>
    <mergeCell ref="A4:E4"/>
    <mergeCell ref="B8:E8"/>
    <mergeCell ref="C22:I22"/>
    <mergeCell ref="B13:E13"/>
    <mergeCell ref="C21:I21"/>
    <mergeCell ref="A1:I1"/>
    <mergeCell ref="G8:I8"/>
    <mergeCell ref="B10:E10"/>
    <mergeCell ref="G7:I7"/>
    <mergeCell ref="C27:I27"/>
  </mergeCells>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G10"/>
  <sheetViews>
    <sheetView workbookViewId="0">
      <selection activeCell="A1" sqref="A1"/>
    </sheetView>
  </sheetViews>
  <sheetFormatPr baseColWidth="8" defaultRowHeight="15"/>
  <cols>
    <col width="30" customWidth="1" min="1" max="1"/>
    <col width="34" customWidth="1" min="2" max="2"/>
    <col width="16" customWidth="1" min="3" max="3"/>
    <col width="14" customWidth="1" min="4" max="4"/>
    <col width="14" customWidth="1" min="5" max="5"/>
    <col width="14" customWidth="1" min="6" max="6"/>
    <col width="14" customWidth="1" min="7" max="7"/>
  </cols>
  <sheetData>
    <row r="1">
      <c r="A1" s="23" t="inlineStr">
        <is>
          <t>SCOPE 1 — COMBUSTIÓN MÓVIL  |  Maquinaria de viñedo y vehículos propios</t>
        </is>
      </c>
    </row>
    <row r="2">
      <c r="A2" s="9" t="inlineStr">
        <is>
          <t>Equipo</t>
        </is>
      </c>
      <c r="B2" s="9" t="inlineStr">
        <is>
          <t>Descripción / uso típico</t>
        </is>
      </c>
      <c r="C2" s="9" t="inlineStr">
        <is>
          <t>Combustible</t>
        </is>
      </c>
      <c r="D2" s="9" t="inlineStr">
        <is>
          <t>Consumo anual</t>
        </is>
      </c>
      <c r="E2" s="9" t="inlineStr">
        <is>
          <t>Unidad</t>
        </is>
      </c>
      <c r="F2" s="9" t="inlineStr">
        <is>
          <t>FE (kg CO2e/un.)</t>
        </is>
      </c>
      <c r="G2" s="9" t="inlineStr">
        <is>
          <t>tCO2e/año</t>
        </is>
      </c>
    </row>
    <row r="3">
      <c r="A3" s="13" t="inlineStr">
        <is>
          <t>Tractores de viñedo</t>
        </is>
      </c>
      <c r="B3" s="14" t="inlineStr">
        <is>
          <t>Labores, desbrozado, acarreo de cosecha</t>
        </is>
      </c>
      <c r="C3" s="24" t="inlineStr">
        <is>
          <t>Gasoil</t>
        </is>
      </c>
      <c r="D3" s="5" t="n"/>
      <c r="E3" s="24" t="inlineStr">
        <is>
          <t>L/año</t>
        </is>
      </c>
      <c r="F3" s="7" t="n">
        <v>2.68</v>
      </c>
      <c r="G3" s="25">
        <f>IF(D3="",0,D3*F3/1000)</f>
        <v/>
      </c>
    </row>
    <row r="4">
      <c r="A4" s="13" t="inlineStr">
        <is>
          <t>Pulverizadora / atomizadora</t>
        </is>
      </c>
      <c r="B4" s="14" t="inlineStr">
        <is>
          <t>Aplicaciones fitosanitarias</t>
        </is>
      </c>
      <c r="C4" s="24" t="inlineStr">
        <is>
          <t>Gasoil</t>
        </is>
      </c>
      <c r="D4" s="5" t="n"/>
      <c r="E4" s="24" t="inlineStr">
        <is>
          <t>L/año</t>
        </is>
      </c>
      <c r="F4" s="7" t="n">
        <v>2.68</v>
      </c>
      <c r="G4" s="25">
        <f>IF(D4="",0,D4*F4/1000)</f>
        <v/>
      </c>
    </row>
    <row r="5">
      <c r="A5" s="13" t="inlineStr">
        <is>
          <t>Cosechadora propia</t>
        </is>
      </c>
      <c r="B5" s="14" t="inlineStr">
        <is>
          <t>Solo si es de la bodega (si es contratada va en S3)</t>
        </is>
      </c>
      <c r="C5" s="24" t="inlineStr">
        <is>
          <t>Gasoil</t>
        </is>
      </c>
      <c r="D5" s="5" t="n"/>
      <c r="E5" s="24" t="inlineStr">
        <is>
          <t>L/año</t>
        </is>
      </c>
      <c r="F5" s="7" t="n">
        <v>2.68</v>
      </c>
      <c r="G5" s="25">
        <f>IF(D5="",0,D5*F5/1000)</f>
        <v/>
      </c>
    </row>
    <row r="6">
      <c r="A6" s="13" t="inlineStr">
        <is>
          <t>Camión propio</t>
        </is>
      </c>
      <c r="B6" s="14" t="inlineStr">
        <is>
          <t>Movimiento de uva e insumos</t>
        </is>
      </c>
      <c r="C6" s="24" t="inlineStr">
        <is>
          <t>Gasoil</t>
        </is>
      </c>
      <c r="D6" s="5" t="n"/>
      <c r="E6" s="24" t="inlineStr">
        <is>
          <t>L/año</t>
        </is>
      </c>
      <c r="F6" s="7" t="n">
        <v>2.68</v>
      </c>
      <c r="G6" s="25">
        <f>IF(D6="",0,D6*F6/1000)</f>
        <v/>
      </c>
    </row>
    <row r="7">
      <c r="A7" s="13" t="inlineStr">
        <is>
          <t>Utilitarios / camionetas</t>
        </is>
      </c>
      <c r="B7" s="14" t="inlineStr">
        <is>
          <t>Logística interna y comercial</t>
        </is>
      </c>
      <c r="C7" s="24" t="inlineStr">
        <is>
          <t>Nafta</t>
        </is>
      </c>
      <c r="D7" s="5" t="n"/>
      <c r="E7" s="24" t="inlineStr">
        <is>
          <t>L/año</t>
        </is>
      </c>
      <c r="F7" s="7" t="n">
        <v>2.31</v>
      </c>
      <c r="G7" s="25">
        <f>IF(D7="",0,D7*F7/1000)</f>
        <v/>
      </c>
    </row>
    <row r="8">
      <c r="A8" s="13" t="inlineStr">
        <is>
          <t>Autoelevador / otros</t>
        </is>
      </c>
      <c r="B8" s="14" t="inlineStr">
        <is>
          <t>Movimiento de pallets en bodega</t>
        </is>
      </c>
      <c r="C8" s="24" t="inlineStr">
        <is>
          <t>Gasoil/GLP</t>
        </is>
      </c>
      <c r="D8" s="5" t="n"/>
      <c r="E8" s="24" t="inlineStr">
        <is>
          <t>L o kg/año</t>
        </is>
      </c>
      <c r="F8" s="7" t="n">
        <v>2.68</v>
      </c>
      <c r="G8" s="25">
        <f>IF(D8="",0,D8*F8/1000)</f>
        <v/>
      </c>
    </row>
    <row r="9">
      <c r="A9" s="26" t="inlineStr">
        <is>
          <t>SUBTOTAL S1 — COMBUSTIÓN MÓVIL (tCO2e/año)</t>
        </is>
      </c>
      <c r="G9" s="25">
        <f>SUM(G3:G8)</f>
        <v/>
      </c>
    </row>
    <row r="10">
      <c r="A10" s="22" t="inlineStr">
        <is>
          <t>FE combinados CO2+CH4+N2O por litro — IPCC 2006 Vol. 2 (gasoil 2,68 / nafta 2,31 kg CO2e/L). Si se usa biodiesel B5/B10, ajustar FE. Fuente de datos: facturas de combustible o planilla de control.</t>
        </is>
      </c>
    </row>
  </sheetData>
  <mergeCells count="3">
    <mergeCell ref="A10:G10"/>
    <mergeCell ref="A1:G1"/>
    <mergeCell ref="A9:F9"/>
  </mergeCells>
  <pageMargins left="0.75" right="0.75" top="1" bottom="1" header="0.5" footer="0.5"/>
</worksheet>
</file>

<file path=xl/worksheets/sheet3.xml><?xml version="1.0" encoding="utf-8"?>
<worksheet xmlns="http://schemas.openxmlformats.org/spreadsheetml/2006/main">
  <sheetPr>
    <tabColor rgb="00C00000"/>
    <outlinePr summaryBelow="1" summaryRight="1"/>
    <pageSetUpPr/>
  </sheetPr>
  <dimension ref="A1:G8"/>
  <sheetViews>
    <sheetView workbookViewId="0">
      <selection activeCell="A1" sqref="A1"/>
    </sheetView>
  </sheetViews>
  <sheetFormatPr baseColWidth="8" defaultRowHeight="15"/>
  <cols>
    <col width="30" customWidth="1" min="1" max="1"/>
    <col width="34" customWidth="1" min="2" max="2"/>
    <col width="16" customWidth="1" min="3" max="3"/>
    <col width="14" customWidth="1" min="4" max="4"/>
    <col width="14" customWidth="1" min="5" max="5"/>
    <col width="14" customWidth="1" min="6" max="6"/>
    <col width="14" customWidth="1" min="7" max="7"/>
  </cols>
  <sheetData>
    <row r="1">
      <c r="A1" s="23" t="inlineStr">
        <is>
          <t>SCOPE 1 — COMBUSTIÓN ESTACIONARIA  |  Caldera, generador y agua caliente</t>
        </is>
      </c>
    </row>
    <row r="2">
      <c r="A2" s="9" t="inlineStr">
        <is>
          <t>Equipo</t>
        </is>
      </c>
      <c r="B2" s="9" t="inlineStr">
        <is>
          <t>Descripción / uso típico</t>
        </is>
      </c>
      <c r="C2" s="9" t="inlineStr">
        <is>
          <t>Combustible</t>
        </is>
      </c>
      <c r="D2" s="9" t="inlineStr">
        <is>
          <t>Consumo anual</t>
        </is>
      </c>
      <c r="E2" s="9" t="inlineStr">
        <is>
          <t>Unidad</t>
        </is>
      </c>
      <c r="F2" s="9" t="inlineStr">
        <is>
          <t>FE (kg CO2e/un.)</t>
        </is>
      </c>
      <c r="G2" s="9" t="inlineStr">
        <is>
          <t>tCO2e/año</t>
        </is>
      </c>
    </row>
    <row r="3">
      <c r="A3" s="13" t="inlineStr">
        <is>
          <t>Generador eléctrico</t>
        </is>
      </c>
      <c r="B3" s="14" t="inlineStr">
        <is>
          <t>Respaldo o autogeneración</t>
        </is>
      </c>
      <c r="C3" s="24" t="inlineStr">
        <is>
          <t>Gasoil</t>
        </is>
      </c>
      <c r="D3" s="5" t="n"/>
      <c r="E3" s="24" t="inlineStr">
        <is>
          <t>L/año</t>
        </is>
      </c>
      <c r="F3" s="7" t="n">
        <v>2.68</v>
      </c>
      <c r="G3" s="25">
        <f>IF(D3="",0,D3*F3/1000)</f>
        <v/>
      </c>
    </row>
    <row r="4">
      <c r="A4" s="13" t="inlineStr">
        <is>
          <t>Caldera / calefacción</t>
        </is>
      </c>
      <c r="B4" s="14" t="inlineStr">
        <is>
          <t>Agua caliente, calefacción de naves</t>
        </is>
      </c>
      <c r="C4" s="24" t="inlineStr">
        <is>
          <t>Gas natural</t>
        </is>
      </c>
      <c r="D4" s="5" t="n"/>
      <c r="E4" s="24" t="inlineStr">
        <is>
          <t>m3/año</t>
        </is>
      </c>
      <c r="F4" s="7" t="n">
        <v>2.04</v>
      </c>
      <c r="G4" s="25">
        <f>IF(D4="",0,D4*F4/1000)</f>
        <v/>
      </c>
    </row>
    <row r="5">
      <c r="A5" s="13" t="inlineStr">
        <is>
          <t>GLP (zeppelin/garrafas)</t>
        </is>
      </c>
      <c r="B5" s="14" t="inlineStr">
        <is>
          <t>Cocina, agua caliente, autoelevador</t>
        </is>
      </c>
      <c r="C5" s="24" t="inlineStr">
        <is>
          <t>GLP</t>
        </is>
      </c>
      <c r="D5" s="5" t="n"/>
      <c r="E5" s="24" t="inlineStr">
        <is>
          <t>kg/año</t>
        </is>
      </c>
      <c r="F5" s="7" t="n">
        <v>3.02</v>
      </c>
      <c r="G5" s="25">
        <f>IF(D5="",0,D5*F5/1000)</f>
        <v/>
      </c>
    </row>
    <row r="6">
      <c r="A6" s="13" t="inlineStr">
        <is>
          <t>Quemadores / otros</t>
        </is>
      </c>
      <c r="B6" s="14" t="inlineStr">
        <is>
          <t>Otros equipos fijos a combustible</t>
        </is>
      </c>
      <c r="C6" s="24" t="inlineStr">
        <is>
          <t>Gasoil</t>
        </is>
      </c>
      <c r="D6" s="5" t="n"/>
      <c r="E6" s="24" t="inlineStr">
        <is>
          <t>L/año</t>
        </is>
      </c>
      <c r="F6" s="7" t="n">
        <v>2.68</v>
      </c>
      <c r="G6" s="25">
        <f>IF(D6="",0,D6*F6/1000)</f>
        <v/>
      </c>
    </row>
    <row r="7">
      <c r="A7" s="26" t="inlineStr">
        <is>
          <t>SUBTOTAL S1 — COMBUSTIÓN ESTACIONARIA (tCO2e/año)</t>
        </is>
      </c>
      <c r="G7" s="25">
        <f>SUM(G3:G6)</f>
        <v/>
      </c>
    </row>
    <row r="8">
      <c r="A8" s="22" t="inlineStr">
        <is>
          <t>FE: IPCC 2006 Vol. 2 — gas natural 2,04 kg CO2e/m3, GLP 3,02 kg CO2e/kg, gasoil 2,68 kg CO2e/L.</t>
        </is>
      </c>
    </row>
  </sheetData>
  <mergeCells count="3">
    <mergeCell ref="A8:G8"/>
    <mergeCell ref="A7:F7"/>
    <mergeCell ref="A1:G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G8"/>
  <sheetViews>
    <sheetView workbookViewId="0">
      <selection activeCell="A1" sqref="A1"/>
    </sheetView>
  </sheetViews>
  <sheetFormatPr baseColWidth="8" defaultRowHeight="15"/>
  <cols>
    <col width="30" customWidth="1" min="1" max="1"/>
    <col width="34" customWidth="1" min="2" max="2"/>
    <col width="16" customWidth="1" min="3" max="3"/>
    <col width="14" customWidth="1" min="4" max="4"/>
    <col width="16" customWidth="1" min="5" max="5"/>
    <col width="14" customWidth="1" min="6" max="6"/>
    <col width="14" customWidth="1" min="7" max="7"/>
  </cols>
  <sheetData>
    <row r="1">
      <c r="A1" s="23" t="inlineStr">
        <is>
          <t>SCOPE 1 — VIÑEDO  |  N2O de fertilización nitrogenada y enmiendas</t>
        </is>
      </c>
    </row>
    <row r="2">
      <c r="A2" s="9" t="inlineStr">
        <is>
          <t>Aplicación</t>
        </is>
      </c>
      <c r="B2" s="9" t="inlineStr">
        <is>
          <t>Descripción</t>
        </is>
      </c>
      <c r="C2" s="9" t="inlineStr">
        <is>
          <t>Dato anual</t>
        </is>
      </c>
      <c r="D2" s="9" t="inlineStr">
        <is>
          <t>Unidad</t>
        </is>
      </c>
      <c r="E2" s="9" t="inlineStr">
        <is>
          <t>FE (kg CO2e/un.)</t>
        </is>
      </c>
      <c r="F2" s="9" t="inlineStr">
        <is>
          <t>Gas</t>
        </is>
      </c>
      <c r="G2" s="9" t="inlineStr">
        <is>
          <t>tCO2e/año</t>
        </is>
      </c>
    </row>
    <row r="3">
      <c r="A3" s="13" t="inlineStr">
        <is>
          <t>Nitrógeno aplicado (todo fert. N)</t>
        </is>
      </c>
      <c r="B3" s="14" t="inlineStr">
        <is>
          <t>kg de N elemental aplicados al viñedo</t>
        </is>
      </c>
      <c r="C3" s="5" t="n"/>
      <c r="D3" s="24" t="inlineStr">
        <is>
          <t>kg N/año</t>
        </is>
      </c>
      <c r="E3" s="7" t="n">
        <v>4.29</v>
      </c>
      <c r="F3" s="24" t="inlineStr">
        <is>
          <t>N2O</t>
        </is>
      </c>
      <c r="G3" s="25">
        <f>IF(C3="",0,C3*E3/1000)</f>
        <v/>
      </c>
    </row>
    <row r="4">
      <c r="A4" s="13" t="inlineStr">
        <is>
          <t>Urea — CO2 de hidrólisis</t>
        </is>
      </c>
      <c r="B4" s="14" t="inlineStr">
        <is>
          <t>Solo si se aplica urea (además del N de arriba)</t>
        </is>
      </c>
      <c r="C4" s="5" t="n"/>
      <c r="D4" s="24" t="inlineStr">
        <is>
          <t>kg urea/año</t>
        </is>
      </c>
      <c r="E4" s="7" t="n">
        <v>0.733</v>
      </c>
      <c r="F4" s="24" t="inlineStr">
        <is>
          <t>CO2</t>
        </is>
      </c>
      <c r="G4" s="25">
        <f>IF(C4="",0,C4*E4/1000)</f>
        <v/>
      </c>
    </row>
    <row r="5">
      <c r="A5" s="13" t="inlineStr">
        <is>
          <t>Cal agrícola (encalado)</t>
        </is>
      </c>
      <c r="B5" s="14" t="inlineStr">
        <is>
          <t>Corrección de suelos</t>
        </is>
      </c>
      <c r="C5" s="5" t="n"/>
      <c r="D5" s="24" t="inlineStr">
        <is>
          <t>kg/año</t>
        </is>
      </c>
      <c r="E5" s="7" t="n">
        <v>0.44</v>
      </c>
      <c r="F5" s="24" t="inlineStr">
        <is>
          <t>CO2</t>
        </is>
      </c>
      <c r="G5" s="25">
        <f>IF(C5="",0,C5*E5/1000)</f>
        <v/>
      </c>
    </row>
    <row r="6">
      <c r="A6" s="13" t="inlineStr">
        <is>
          <t>Dolomita</t>
        </is>
      </c>
      <c r="B6" s="14" t="inlineStr">
        <is>
          <t>Corrección de suelos</t>
        </is>
      </c>
      <c r="C6" s="5" t="n"/>
      <c r="D6" s="24" t="inlineStr">
        <is>
          <t>kg/año</t>
        </is>
      </c>
      <c r="E6" s="7" t="n">
        <v>0.477</v>
      </c>
      <c r="F6" s="24" t="inlineStr">
        <is>
          <t>CO2</t>
        </is>
      </c>
      <c r="G6" s="25">
        <f>IF(C6="",0,C6*E6/1000)</f>
        <v/>
      </c>
    </row>
    <row r="7">
      <c r="A7" s="26" t="inlineStr">
        <is>
          <t>SUBTOTAL S1 — VIÑEDO (tCO2e/año)</t>
        </is>
      </c>
      <c r="G7" s="25">
        <f>SUM(G3:G6)</f>
        <v/>
      </c>
    </row>
    <row r="8">
      <c r="A8" s="22" t="inlineStr">
        <is>
          <t>N2O directo Tier 1: EF1 = 0,01 kg N2O-N/kg N (IPCC 2019 Refinement) x 44/28 x GWP 273 (AR6) = 4,29 kg CO2e/kg N. Urea: 0,20 kg C/kg x 44/12 = 0,733 kg CO2/kg (IPCC 2006). Cal 0,44 / dolomita 0,477 kg CO2/kg (IPCC 2006 Vol. 4). No incluye N2O indirecto (volatilización/lixiviación).</t>
        </is>
      </c>
    </row>
  </sheetData>
  <mergeCells count="3">
    <mergeCell ref="A8:G8"/>
    <mergeCell ref="A7:F7"/>
    <mergeCell ref="A1:G1"/>
  </mergeCells>
  <pageMargins left="0.75" right="0.75" top="1" bottom="1" header="0.5" footer="0.5"/>
</worksheet>
</file>

<file path=xl/worksheets/sheet5.xml><?xml version="1.0" encoding="utf-8"?>
<worksheet xmlns="http://schemas.openxmlformats.org/spreadsheetml/2006/main">
  <sheetPr>
    <tabColor rgb="00C00000"/>
    <outlinePr summaryBelow="1" summaryRight="1"/>
    <pageSetUpPr/>
  </sheetPr>
  <dimension ref="A1:F9"/>
  <sheetViews>
    <sheetView workbookViewId="0">
      <selection activeCell="A1" sqref="A1"/>
    </sheetView>
  </sheetViews>
  <sheetFormatPr baseColWidth="8" defaultRowHeight="15"/>
  <cols>
    <col width="16" customWidth="1" min="1" max="1"/>
    <col width="38" customWidth="1" min="2" max="2"/>
    <col width="16" customWidth="1" min="3" max="3"/>
    <col width="16" customWidth="1" min="4" max="4"/>
    <col width="14" customWidth="1" min="5" max="5"/>
    <col width="14" customWidth="1" min="6" max="6"/>
  </cols>
  <sheetData>
    <row r="1">
      <c r="A1" s="23" t="inlineStr">
        <is>
          <t>SCOPE 1 — REFRIGERANTES  |  Fugas en frío de bodega (control de fermentación, cámaras)</t>
        </is>
      </c>
    </row>
    <row r="2">
      <c r="A2" s="9" t="inlineStr">
        <is>
          <t>Gas</t>
        </is>
      </c>
      <c r="B2" s="9" t="inlineStr">
        <is>
          <t>Equipo típico en bodega</t>
        </is>
      </c>
      <c r="C2" s="9" t="inlineStr">
        <is>
          <t>Carga total (kg)</t>
        </is>
      </c>
      <c r="D2" s="9" t="inlineStr">
        <is>
          <t>Fuga anual (%)</t>
        </is>
      </c>
      <c r="E2" s="9" t="inlineStr">
        <is>
          <t>GWP (AR6)</t>
        </is>
      </c>
      <c r="F2" s="9" t="inlineStr">
        <is>
          <t>tCO2e/año</t>
        </is>
      </c>
    </row>
    <row r="3">
      <c r="A3" s="13" t="inlineStr">
        <is>
          <t>R-134a</t>
        </is>
      </c>
      <c r="B3" s="14" t="inlineStr">
        <is>
          <t>Chillers de control de temperatura de fermentación</t>
        </is>
      </c>
      <c r="C3" s="5" t="n"/>
      <c r="D3" s="5" t="n">
        <v>10</v>
      </c>
      <c r="E3" s="7" t="n">
        <v>1530</v>
      </c>
      <c r="F3" s="25">
        <f>IF(C3="",0,C3*D3/100*E3/1000)</f>
        <v/>
      </c>
    </row>
    <row r="4">
      <c r="A4" s="13" t="inlineStr">
        <is>
          <t>R-404A</t>
        </is>
      </c>
      <c r="B4" s="14" t="inlineStr">
        <is>
          <t>Cámaras de frío / conservación</t>
        </is>
      </c>
      <c r="C4" s="5" t="n"/>
      <c r="D4" s="5" t="n">
        <v>10</v>
      </c>
      <c r="E4" s="7" t="n">
        <v>4728</v>
      </c>
      <c r="F4" s="25">
        <f>IF(C4="",0,C4*D4/100*E4/1000)</f>
        <v/>
      </c>
    </row>
    <row r="5">
      <c r="A5" s="13" t="inlineStr">
        <is>
          <t>R-410A</t>
        </is>
      </c>
      <c r="B5" s="14" t="inlineStr">
        <is>
          <t>Aire acondicionado de naves y oficinas</t>
        </is>
      </c>
      <c r="C5" s="5" t="n"/>
      <c r="D5" s="5" t="n">
        <v>10</v>
      </c>
      <c r="E5" s="7" t="n">
        <v>2256</v>
      </c>
      <c r="F5" s="25">
        <f>IF(C5="",0,C5*D5/100*E5/1000)</f>
        <v/>
      </c>
    </row>
    <row r="6">
      <c r="A6" s="13" t="inlineStr">
        <is>
          <t>R-22</t>
        </is>
      </c>
      <c r="B6" s="14" t="inlineStr">
        <is>
          <t>Equipos antiguos (en retiro — Protocolo de Montreal)</t>
        </is>
      </c>
      <c r="C6" s="5" t="n"/>
      <c r="D6" s="5" t="n">
        <v>10</v>
      </c>
      <c r="E6" s="7" t="n">
        <v>1960</v>
      </c>
      <c r="F6" s="25">
        <f>IF(C6="",0,C6*D6/100*E6/1000)</f>
        <v/>
      </c>
    </row>
    <row r="7">
      <c r="A7" s="13" t="inlineStr">
        <is>
          <t>Amoníaco (NH3)</t>
        </is>
      </c>
      <c r="B7" s="14" t="inlineStr">
        <is>
          <t>Sistemas industriales grandes — GWP nulo</t>
        </is>
      </c>
      <c r="C7" s="5" t="n"/>
      <c r="D7" s="5" t="n">
        <v>10</v>
      </c>
      <c r="E7" s="7" t="n">
        <v>0</v>
      </c>
      <c r="F7" s="25">
        <f>IF(C7="",0,C7*D7/100*E7/1000)</f>
        <v/>
      </c>
    </row>
    <row r="8">
      <c r="A8" s="26" t="inlineStr">
        <is>
          <t>SUBTOTAL S1 — REFRIGERANTES (tCO2e/año)</t>
        </is>
      </c>
      <c r="F8" s="25">
        <f>SUM(F3:F7)</f>
        <v/>
      </c>
    </row>
    <row r="9">
      <c r="A9" s="22" t="inlineStr">
        <is>
          <t>Método de tasa de fuga: carga del equipo (kg) x % de fuga anual x GWP. Tasa por defecto 10% (rango típico 5-15% en equipos comerciales — GHG Protocol, herramienta HFC). GWP AR6 a 100 años. La carga figura en la placa del equipo o en la factura de recarga del técnico de frío.</t>
        </is>
      </c>
    </row>
  </sheetData>
  <mergeCells count="3">
    <mergeCell ref="A1:F1"/>
    <mergeCell ref="A9:F9"/>
    <mergeCell ref="A8:E8"/>
  </mergeCells>
  <pageMargins left="0.75" right="0.75" top="1" bottom="1" header="0.5" footer="0.5"/>
</worksheet>
</file>

<file path=xl/worksheets/sheet6.xml><?xml version="1.0" encoding="utf-8"?>
<worksheet xmlns="http://schemas.openxmlformats.org/spreadsheetml/2006/main">
  <sheetPr>
    <tabColor rgb="00548235"/>
    <outlinePr summaryBelow="1" summaryRight="1"/>
    <pageSetUpPr/>
  </sheetPr>
  <dimension ref="A1:F5"/>
  <sheetViews>
    <sheetView workbookViewId="0">
      <selection activeCell="A1" sqref="A1"/>
    </sheetView>
  </sheetViews>
  <sheetFormatPr baseColWidth="8" defaultRowHeight="15"/>
  <cols>
    <col width="34" customWidth="1" min="1" max="1"/>
    <col width="30" customWidth="1" min="2" max="2"/>
    <col width="16" customWidth="1" min="3" max="3"/>
    <col width="14" customWidth="1" min="4" max="4"/>
    <col width="16" customWidth="1" min="5" max="5"/>
    <col width="14" customWidth="1" min="6" max="6"/>
  </cols>
  <sheetData>
    <row r="1">
      <c r="A1" s="27" t="inlineStr">
        <is>
          <t>CO2 BIOGÉNICO DE FERMENTACIÓN ALCOHÓLICA — SE REPORTA POR SEPARADO</t>
        </is>
      </c>
    </row>
    <row r="2">
      <c r="A2" s="9" t="inlineStr">
        <is>
          <t>Concepto</t>
        </is>
      </c>
      <c r="B2" s="9" t="inlineStr">
        <is>
          <t>Descripción</t>
        </is>
      </c>
      <c r="C2" s="9" t="inlineStr">
        <is>
          <t>Dato anual</t>
        </is>
      </c>
      <c r="D2" s="9" t="inlineStr">
        <is>
          <t>Unidad</t>
        </is>
      </c>
      <c r="E2" s="9" t="inlineStr">
        <is>
          <t>Factor (kg CO2/L)</t>
        </is>
      </c>
      <c r="F2" s="9" t="inlineStr">
        <is>
          <t>tCO2 biogénico/año</t>
        </is>
      </c>
    </row>
    <row r="3">
      <c r="A3" s="21" t="inlineStr">
        <is>
          <t>Vino elaborado en el ejercicio</t>
        </is>
      </c>
      <c r="B3" s="14" t="inlineStr">
        <is>
          <t>Litros que completaron fermentación alcohólica</t>
        </is>
      </c>
      <c r="C3" s="5" t="n"/>
      <c r="D3" s="24" t="inlineStr">
        <is>
          <t>L/año</t>
        </is>
      </c>
      <c r="E3" s="7" t="n">
        <v>0.098</v>
      </c>
      <c r="F3" s="25">
        <f>IF(C3="",0,C3*E3/1000)</f>
        <v/>
      </c>
    </row>
    <row r="5">
      <c r="A5" s="22" t="inlineStr">
        <is>
          <t>Estequiometría: C6H12O6 -&gt; 2 C2H5OH + 2 CO2. Para vino de ~13% vol: ~103 g etanol/L -&gt; ~98 g CO2/L (0,098 kg CO2/L). Este CO2 es BIOGÉNICO: fue capturado por la vid en el mismo ciclo anual, por lo que el protocolo OIV y la calculadora internacional FIVS/IWCC lo excluyen del total y lo informan por separado. NO se suma en la hoja RESUMEN.</t>
        </is>
      </c>
    </row>
  </sheetData>
  <mergeCells count="2">
    <mergeCell ref="A1:F1"/>
    <mergeCell ref="A5:F5"/>
  </mergeCells>
  <pageMargins left="0.75" right="0.75" top="1" bottom="1" header="0.5" footer="0.5"/>
</worksheet>
</file>

<file path=xl/worksheets/sheet7.xml><?xml version="1.0" encoding="utf-8"?>
<worksheet xmlns="http://schemas.openxmlformats.org/spreadsheetml/2006/main">
  <sheetPr>
    <tabColor rgb="000070C0"/>
    <outlinePr summaryBelow="1" summaryRight="1"/>
    <pageSetUpPr/>
  </sheetPr>
  <dimension ref="A1:F6"/>
  <sheetViews>
    <sheetView workbookViewId="0">
      <selection activeCell="A1" sqref="A1"/>
    </sheetView>
  </sheetViews>
  <sheetFormatPr baseColWidth="8" defaultRowHeight="15"/>
  <cols>
    <col width="34" customWidth="1" min="1" max="1"/>
    <col width="34" customWidth="1" min="2" max="2"/>
    <col width="16" customWidth="1" min="3" max="3"/>
    <col width="14" customWidth="1" min="4" max="4"/>
    <col width="16" customWidth="1" min="5" max="5"/>
    <col width="14" customWidth="1" min="6" max="6"/>
  </cols>
  <sheetData>
    <row r="1">
      <c r="A1" s="28" t="inlineStr">
        <is>
          <t>SCOPE 2 — ELECTRICIDAD DE RED  |  Enfoque basado en localización</t>
        </is>
      </c>
    </row>
    <row r="2">
      <c r="A2" s="9" t="inlineStr">
        <is>
          <t>Concepto</t>
        </is>
      </c>
      <c r="B2" s="9" t="inlineStr">
        <is>
          <t>Descripción</t>
        </is>
      </c>
      <c r="C2" s="9" t="inlineStr">
        <is>
          <t>Dato anual</t>
        </is>
      </c>
      <c r="D2" s="9" t="inlineStr">
        <is>
          <t>Unidad</t>
        </is>
      </c>
      <c r="E2" s="9" t="inlineStr">
        <is>
          <t>FE (kg CO2e/kWh)</t>
        </is>
      </c>
      <c r="F2" s="9" t="inlineStr">
        <is>
          <t>tCO2e/año</t>
        </is>
      </c>
    </row>
    <row r="3">
      <c r="A3" s="17" t="inlineStr">
        <is>
          <t>Electricidad comprada a la red</t>
        </is>
      </c>
      <c r="B3" s="14" t="inlineStr">
        <is>
          <t>Frío de bodega, prensas, bombas, embotellado, riego, iluminación</t>
        </is>
      </c>
      <c r="C3" s="5" t="n"/>
      <c r="D3" s="24" t="inlineStr">
        <is>
          <t>kWh/año</t>
        </is>
      </c>
      <c r="E3" s="7" t="n">
        <v>0.383</v>
      </c>
      <c r="F3" s="25">
        <f>IF(C3="",0,C3*E3/1000)</f>
        <v/>
      </c>
    </row>
    <row r="4">
      <c r="A4" s="17" t="inlineStr">
        <is>
          <t>Solar fotovoltaica autogenerada</t>
        </is>
      </c>
      <c r="B4" s="14" t="inlineStr">
        <is>
          <t>Informativo — FE 0 (reduce la compra de red)</t>
        </is>
      </c>
      <c r="C4" s="5" t="n"/>
      <c r="D4" s="24" t="inlineStr">
        <is>
          <t>kWh/año</t>
        </is>
      </c>
      <c r="E4" s="7" t="n">
        <v>0</v>
      </c>
      <c r="F4" s="25">
        <f>0</f>
        <v/>
      </c>
    </row>
    <row r="5">
      <c r="A5" s="29" t="inlineStr">
        <is>
          <t>SUBTOTAL S2 — ELECTRICIDAD (tCO2e/año)</t>
        </is>
      </c>
      <c r="F5" s="25">
        <f>SUM(F3:F4)</f>
        <v/>
      </c>
    </row>
    <row r="6">
      <c r="A6" s="22" t="inlineStr">
        <is>
          <t>GHG Protocol Scope 2 Guidance (2015) — enfoque localización. FE Red Argentina CAMMESA 2023: 0,383 kg CO2e/kWh. Verificar el valor vigente del año del inventario en cammesaweb.cammesa.com/download/factor-de-emision. Fuente del dato: facturas de la distribuidora (12 meses).</t>
        </is>
      </c>
    </row>
  </sheetData>
  <mergeCells count="3">
    <mergeCell ref="A6:F6"/>
    <mergeCell ref="A5:E5"/>
    <mergeCell ref="A1:F1"/>
  </mergeCells>
  <pageMargins left="0.75" right="0.75" top="1" bottom="1" header="0.5" footer="0.5"/>
</worksheet>
</file>

<file path=xl/worksheets/sheet8.xml><?xml version="1.0" encoding="utf-8"?>
<worksheet xmlns="http://schemas.openxmlformats.org/spreadsheetml/2006/main">
  <sheetPr>
    <tabColor rgb="007030A0"/>
    <outlinePr summaryBelow="1" summaryRight="1"/>
    <pageSetUpPr/>
  </sheetPr>
  <dimension ref="A1:G17"/>
  <sheetViews>
    <sheetView workbookViewId="0">
      <selection activeCell="A1" sqref="A1"/>
    </sheetView>
  </sheetViews>
  <sheetFormatPr baseColWidth="8" defaultRowHeight="15"/>
  <cols>
    <col width="28" customWidth="1" min="1" max="1"/>
    <col width="34" customWidth="1" min="2" max="2"/>
    <col width="16" customWidth="1" min="3" max="3"/>
    <col width="16" customWidth="1" min="4" max="4"/>
    <col width="16" customWidth="1" min="5" max="5"/>
    <col width="14" customWidth="1" min="6" max="6"/>
    <col width="14" customWidth="1" min="7" max="7"/>
  </cols>
  <sheetData>
    <row r="1">
      <c r="A1" s="30" t="inlineStr">
        <is>
          <t>SCOPE 3 — ENVASES Y EMBALAJES (fabricación)  |  Típicamente la mayor fuente en una bodega</t>
        </is>
      </c>
    </row>
    <row r="2">
      <c r="A2" s="31" t="inlineStr">
        <is>
          <t>BOTELLAS DE VIDRIO</t>
        </is>
      </c>
    </row>
    <row r="3">
      <c r="A3" s="9" t="inlineStr">
        <is>
          <t>Concepto</t>
        </is>
      </c>
      <c r="B3" s="9" t="inlineStr">
        <is>
          <t>Descripción</t>
        </is>
      </c>
      <c r="C3" s="9" t="inlineStr">
        <is>
          <t>Dato</t>
        </is>
      </c>
      <c r="D3" s="9" t="inlineStr">
        <is>
          <t>Unidad</t>
        </is>
      </c>
      <c r="E3" s="9" t="inlineStr">
        <is>
          <t>FE base (kg CO2e/kg)</t>
        </is>
      </c>
      <c r="F3" s="9" t="inlineStr"/>
      <c r="G3" s="9" t="inlineStr">
        <is>
          <t>tCO2e/año</t>
        </is>
      </c>
    </row>
    <row r="4">
      <c r="A4" s="19" t="inlineStr">
        <is>
          <t>Botellas compradas en el año</t>
        </is>
      </c>
      <c r="B4" s="14" t="inlineStr">
        <is>
          <t>Unidades (todas las líneas y formatos)</t>
        </is>
      </c>
      <c r="C4" s="5" t="n">
        <v>240000</v>
      </c>
      <c r="D4" s="24" t="inlineStr">
        <is>
          <t>unidades/año</t>
        </is>
      </c>
      <c r="E4" s="7" t="n">
        <v>1.2</v>
      </c>
      <c r="F4" s="14" t="inlineStr"/>
      <c r="G4" s="14" t="inlineStr"/>
    </row>
    <row r="5">
      <c r="A5" s="19" t="inlineStr">
        <is>
          <t>Peso promedio por botella</t>
        </is>
      </c>
      <c r="B5" s="14" t="inlineStr">
        <is>
          <t>Estándar 450-550 g; premium 700-900 g</t>
        </is>
      </c>
      <c r="C5" s="5" t="n">
        <v>500</v>
      </c>
      <c r="D5" s="24" t="inlineStr">
        <is>
          <t>gramos</t>
        </is>
      </c>
      <c r="E5" s="14" t="inlineStr"/>
      <c r="F5" s="14" t="inlineStr"/>
      <c r="G5" s="14" t="inlineStr"/>
    </row>
    <row r="6">
      <c r="A6" s="19" t="inlineStr">
        <is>
          <t>Contenido de vidrio reciclado</t>
        </is>
      </c>
      <c r="B6" s="14" t="inlineStr">
        <is>
          <t>Consultar al proveedor (botella oscura admite más casco)</t>
        </is>
      </c>
      <c r="C6" s="5" t="n">
        <v>30</v>
      </c>
      <c r="D6" s="24" t="inlineStr">
        <is>
          <t>%</t>
        </is>
      </c>
      <c r="E6" s="14" t="inlineStr"/>
      <c r="F6" s="14" t="inlineStr"/>
      <c r="G6" s="14" t="inlineStr"/>
    </row>
    <row r="7">
      <c r="A7" s="19" t="inlineStr">
        <is>
          <t>EMISIONES BOTELLAS</t>
        </is>
      </c>
      <c r="B7" s="14">
        <f> unid. x peso(kg) x FE x (1 - 0,002 x %reciclado)</f>
        <v/>
      </c>
      <c r="C7" s="14" t="inlineStr"/>
      <c r="D7" s="14" t="inlineStr"/>
      <c r="E7" s="14" t="inlineStr"/>
      <c r="F7" s="14" t="inlineStr"/>
      <c r="G7" s="25">
        <f>IF(C4="",0,C4*C5/1000*E4*(1-0.002*C6)/1000)</f>
        <v/>
      </c>
    </row>
    <row r="8">
      <c r="A8" s="31" t="inlineStr">
        <is>
          <t>TAPONES, CÁPSULAS, ETIQUETAS Y CAJAS</t>
        </is>
      </c>
    </row>
    <row r="9">
      <c r="A9" s="9" t="inlineStr">
        <is>
          <t>Ítem</t>
        </is>
      </c>
      <c r="B9" s="9" t="inlineStr">
        <is>
          <t>Descripción</t>
        </is>
      </c>
      <c r="C9" s="9" t="inlineStr">
        <is>
          <t>Dato anual</t>
        </is>
      </c>
      <c r="D9" s="9" t="inlineStr">
        <is>
          <t>Unidad</t>
        </is>
      </c>
      <c r="E9" s="9" t="inlineStr">
        <is>
          <t>FE</t>
        </is>
      </c>
      <c r="F9" s="9" t="inlineStr">
        <is>
          <t>Unidad FE</t>
        </is>
      </c>
      <c r="G9" s="9" t="inlineStr">
        <is>
          <t>tCO2e/año</t>
        </is>
      </c>
    </row>
    <row r="10">
      <c r="A10" s="19" t="inlineStr">
        <is>
          <t>Corcho natural</t>
        </is>
      </c>
      <c r="B10" s="14" t="inlineStr">
        <is>
          <t>El cierre de menor huella</t>
        </is>
      </c>
      <c r="C10" s="5" t="n"/>
      <c r="D10" s="24" t="inlineStr">
        <is>
          <t>unidades/año</t>
        </is>
      </c>
      <c r="E10" s="7" t="n">
        <v>0.00183</v>
      </c>
      <c r="F10" s="24" t="inlineStr">
        <is>
          <t>kg CO2e/unidad</t>
        </is>
      </c>
      <c r="G10" s="25">
        <f>IF(C10="",0,C10*E10/1000)</f>
        <v/>
      </c>
    </row>
    <row r="11">
      <c r="A11" s="19" t="inlineStr">
        <is>
          <t>Tapón sintético</t>
        </is>
      </c>
      <c r="B11" s="14" t="inlineStr">
        <is>
          <t>Polímero</t>
        </is>
      </c>
      <c r="C11" s="5" t="n"/>
      <c r="D11" s="24" t="inlineStr">
        <is>
          <t>unidades/año</t>
        </is>
      </c>
      <c r="E11" s="7" t="n">
        <v>0.0148</v>
      </c>
      <c r="F11" s="24" t="inlineStr">
        <is>
          <t>kg CO2e/unidad</t>
        </is>
      </c>
      <c r="G11" s="25">
        <f>IF(C11="",0,C11*E11/1000)</f>
        <v/>
      </c>
    </row>
    <row r="12">
      <c r="A12" s="19" t="inlineStr">
        <is>
          <t>Tapa rosca (aluminio)</t>
        </is>
      </c>
      <c r="B12" s="14" t="inlineStr">
        <is>
          <t>Screwcap</t>
        </is>
      </c>
      <c r="C12" s="5" t="n"/>
      <c r="D12" s="24" t="inlineStr">
        <is>
          <t>unidades/año</t>
        </is>
      </c>
      <c r="E12" s="7" t="n">
        <v>0.0372</v>
      </c>
      <c r="F12" s="24" t="inlineStr">
        <is>
          <t>kg CO2e/unidad</t>
        </is>
      </c>
      <c r="G12" s="25">
        <f>IF(C12="",0,C12*E12/1000)</f>
        <v/>
      </c>
    </row>
    <row r="13">
      <c r="A13" s="19" t="inlineStr">
        <is>
          <t>Cápsulas (aluminio/estaño)</t>
        </is>
      </c>
      <c r="B13" s="14" t="inlineStr">
        <is>
          <t>Peso total comprado en el año</t>
        </is>
      </c>
      <c r="C13" s="5" t="n"/>
      <c r="D13" s="24" t="inlineStr">
        <is>
          <t>kg/año</t>
        </is>
      </c>
      <c r="E13" s="7" t="n">
        <v>8.6</v>
      </c>
      <c r="F13" s="24" t="inlineStr">
        <is>
          <t>kg CO2e/kg</t>
        </is>
      </c>
      <c r="G13" s="25">
        <f>IF(C13="",0,C13*E13/1000)</f>
        <v/>
      </c>
    </row>
    <row r="14">
      <c r="A14" s="19" t="inlineStr">
        <is>
          <t>Etiquetas (papel)</t>
        </is>
      </c>
      <c r="B14" s="14" t="inlineStr">
        <is>
          <t>Peso total comprado en el año</t>
        </is>
      </c>
      <c r="C14" s="5" t="n"/>
      <c r="D14" s="24" t="inlineStr">
        <is>
          <t>kg/año</t>
        </is>
      </c>
      <c r="E14" s="7" t="n">
        <v>1.1</v>
      </c>
      <c r="F14" s="24" t="inlineStr">
        <is>
          <t>kg CO2e/kg</t>
        </is>
      </c>
      <c r="G14" s="25">
        <f>IF(C14="",0,C14*E14/1000)</f>
        <v/>
      </c>
    </row>
    <row r="15">
      <c r="A15" s="19" t="inlineStr">
        <is>
          <t>Cajas de cartón</t>
        </is>
      </c>
      <c r="B15" s="14" t="inlineStr">
        <is>
          <t>Peso total (cajas + separadores)</t>
        </is>
      </c>
      <c r="C15" s="5" t="n"/>
      <c r="D15" s="24" t="inlineStr">
        <is>
          <t>kg/año</t>
        </is>
      </c>
      <c r="E15" s="7" t="n">
        <v>0.9399999999999999</v>
      </c>
      <c r="F15" s="24" t="inlineStr">
        <is>
          <t>kg CO2e/kg</t>
        </is>
      </c>
      <c r="G15" s="25">
        <f>IF(C15="",0,C15*E15/1000)</f>
        <v/>
      </c>
    </row>
    <row r="16">
      <c r="A16" s="31" t="inlineStr">
        <is>
          <t>SUBTOTAL S3 — ENVASES Y EMBALAJES (tCO2e/año)</t>
        </is>
      </c>
      <c r="G16" s="25">
        <f>G7+SUM(G10:G15)</f>
        <v/>
      </c>
    </row>
    <row r="17">
      <c r="A17" s="22" t="inlineStr">
        <is>
          <t>Vidrio: 1,2 kg CO2e/kg (vidrio nuevo, promedio LCA europeos); cada 10% de casco reciclado reduce ~2% (Glass Alliance Europe). Cierres: corcho 1,83 g / sintético 14,8 g / rosca aluminio 37,2 g CO2e por unidad (estudio PwC para Amorim, 2008 — produccion). Aluminio 8,6 kg CO2e/kg (promedio primario). Cartón 0,94 kg CO2e/kg (cradle-to-grave). Papel 1,1 kg CO2e/kg. Ajustar con datos del proveedor si los entrega (EPD).</t>
        </is>
      </c>
    </row>
  </sheetData>
  <mergeCells count="5">
    <mergeCell ref="A16:F16"/>
    <mergeCell ref="A1:G1"/>
    <mergeCell ref="A17:G17"/>
    <mergeCell ref="A8:G8"/>
    <mergeCell ref="A2:G2"/>
  </mergeCells>
  <pageMargins left="0.75" right="0.75" top="1" bottom="1" header="0.5" footer="0.5"/>
</worksheet>
</file>

<file path=xl/worksheets/sheet9.xml><?xml version="1.0" encoding="utf-8"?>
<worksheet xmlns="http://schemas.openxmlformats.org/spreadsheetml/2006/main">
  <sheetPr>
    <tabColor rgb="007030A0"/>
    <outlinePr summaryBelow="1" summaryRight="1"/>
    <pageSetUpPr/>
  </sheetPr>
  <dimension ref="A1:G8"/>
  <sheetViews>
    <sheetView workbookViewId="0">
      <selection activeCell="A1" sqref="A1"/>
    </sheetView>
  </sheetViews>
  <sheetFormatPr baseColWidth="8" defaultRowHeight="15"/>
  <cols>
    <col width="30" customWidth="1" min="1" max="1"/>
    <col width="34" customWidth="1" min="2" max="2"/>
    <col width="16" customWidth="1" min="3" max="3"/>
    <col width="14" customWidth="1" min="4" max="4"/>
    <col width="16" customWidth="1" min="5" max="5"/>
    <col width="14" customWidth="1" min="6" max="6"/>
    <col width="14" customWidth="1" min="7" max="7"/>
  </cols>
  <sheetData>
    <row r="1">
      <c r="A1" s="30" t="inlineStr">
        <is>
          <t>SCOPE 3 — INSUMOS COMPRADOS (emisiones de fabricación, aguas arriba)</t>
        </is>
      </c>
    </row>
    <row r="2">
      <c r="A2" s="9" t="inlineStr">
        <is>
          <t>Insumo</t>
        </is>
      </c>
      <c r="B2" s="9" t="inlineStr">
        <is>
          <t>Descripción</t>
        </is>
      </c>
      <c r="C2" s="9" t="inlineStr">
        <is>
          <t>Dato anual</t>
        </is>
      </c>
      <c r="D2" s="9" t="inlineStr">
        <is>
          <t>Unidad</t>
        </is>
      </c>
      <c r="E2" s="9" t="inlineStr">
        <is>
          <t>FE (kg CO2e/kg)</t>
        </is>
      </c>
      <c r="F2" s="9" t="inlineStr">
        <is>
          <t>Estado</t>
        </is>
      </c>
      <c r="G2" s="9" t="inlineStr">
        <is>
          <t>tCO2e/año</t>
        </is>
      </c>
    </row>
    <row r="3">
      <c r="A3" s="19" t="inlineStr">
        <is>
          <t>Fertilizantes (fabricación)</t>
        </is>
      </c>
      <c r="B3" s="14" t="inlineStr">
        <is>
          <t>Todo fertilizante comprado, por peso de producto</t>
        </is>
      </c>
      <c r="C3" s="5" t="n"/>
      <c r="D3" s="24" t="inlineStr">
        <is>
          <t>kg/año</t>
        </is>
      </c>
      <c r="E3" s="7" t="n">
        <v>1.2</v>
      </c>
      <c r="F3" s="24" t="inlineStr">
        <is>
          <t>Calculado</t>
        </is>
      </c>
      <c r="G3" s="25">
        <f>IF(C3="",0,C3*E3/1000)</f>
        <v/>
      </c>
    </row>
    <row r="4">
      <c r="A4" s="19" t="inlineStr">
        <is>
          <t>Agroquímicos (fabricación)</t>
        </is>
      </c>
      <c r="B4" s="14" t="inlineStr">
        <is>
          <t>Herbicidas, fungicidas, insecticidas</t>
        </is>
      </c>
      <c r="C4" s="5" t="n"/>
      <c r="D4" s="24" t="inlineStr">
        <is>
          <t>kg o L/año</t>
        </is>
      </c>
      <c r="E4" s="7" t="n">
        <v>6.3</v>
      </c>
      <c r="F4" s="24" t="inlineStr">
        <is>
          <t>Calculado</t>
        </is>
      </c>
      <c r="G4" s="25">
        <f>IF(C4="",0,C4*E4/1000)</f>
        <v/>
      </c>
    </row>
    <row r="5">
      <c r="A5" s="19" t="inlineStr">
        <is>
          <t>Productos enológicos</t>
        </is>
      </c>
      <c r="B5" s="14" t="inlineStr">
        <is>
          <t>Levaduras, clarificantes, SO2, ácidos — sin FE estandarizado</t>
        </is>
      </c>
      <c r="C5" s="5" t="n"/>
      <c r="D5" s="24" t="inlineStr">
        <is>
          <t>kg/año</t>
        </is>
      </c>
      <c r="E5" s="24" t="inlineStr">
        <is>
          <t>—</t>
        </is>
      </c>
      <c r="F5" s="24" t="inlineStr">
        <is>
          <t>Registro</t>
        </is>
      </c>
      <c r="G5" s="25">
        <f>0</f>
        <v/>
      </c>
    </row>
    <row r="7">
      <c r="A7" s="31" t="inlineStr">
        <is>
          <t>SUBTOTAL S3 — INSUMOS (tCO2e/año)</t>
        </is>
      </c>
      <c r="G7" s="25">
        <f>SUM(G3:G5)</f>
        <v/>
      </c>
    </row>
    <row r="8">
      <c r="A8" s="22" t="inlineStr">
        <is>
          <t>FE promedio de bibliografía (fabricación): fertilizantes 1,2 / agroquímicos 6,3 kg CO2e/kg. Los productos enológicos se registran sin calcular hasta contar con FE específicos o EPD del proveedor.</t>
        </is>
      </c>
    </row>
  </sheetData>
  <mergeCells count="3">
    <mergeCell ref="A8:G8"/>
    <mergeCell ref="A7:F7"/>
    <mergeCell ref="A1:G1"/>
  </mergeCells>
  <pageMargins left="0.75" right="0.75" top="1" bottom="1" header="0.5" footer="0.5"/>
</worksheet>
</file>

<file path=xl/worksheets/sheet10.xml><?xml version="1.0" encoding="utf-8"?>
<worksheet xmlns="http://schemas.openxmlformats.org/spreadsheetml/2006/main">
  <sheetPr>
    <tabColor rgb="007030A0"/>
    <outlinePr summaryBelow="1" summaryRight="1"/>
    <pageSetUpPr/>
  </sheetPr>
  <dimension ref="A1:G9"/>
  <sheetViews>
    <sheetView workbookViewId="0">
      <selection activeCell="A1" sqref="A1"/>
    </sheetView>
  </sheetViews>
  <sheetFormatPr baseColWidth="8" defaultRowHeight="15"/>
  <cols>
    <col width="30" customWidth="1" min="1" max="1"/>
    <col width="34" customWidth="1" min="2" max="2"/>
    <col width="16" customWidth="1" min="3" max="3"/>
    <col width="14" customWidth="1" min="4" max="4"/>
    <col width="18" customWidth="1" min="5" max="5"/>
    <col width="14" customWidth="1" min="6" max="6"/>
    <col width="14" customWidth="1" min="7" max="7"/>
  </cols>
  <sheetData>
    <row r="1">
      <c r="A1" s="30" t="inlineStr">
        <is>
          <t>SCOPE 3 — TRANSPORTE Y DISTRIBUCIÓN (contratado a terceros)</t>
        </is>
      </c>
    </row>
    <row r="2">
      <c r="A2" s="9" t="inlineStr">
        <is>
          <t>Tramo</t>
        </is>
      </c>
      <c r="B2" s="9" t="inlineStr">
        <is>
          <t>Descripción</t>
        </is>
      </c>
      <c r="C2" s="9" t="inlineStr">
        <is>
          <t>Dato anual</t>
        </is>
      </c>
      <c r="D2" s="9" t="inlineStr">
        <is>
          <t>Unidad</t>
        </is>
      </c>
      <c r="E2" s="9" t="inlineStr">
        <is>
          <t>FE (kg CO2e/t·km)</t>
        </is>
      </c>
      <c r="F2" s="9" t="inlineStr">
        <is>
          <t>Modo</t>
        </is>
      </c>
      <c r="G2" s="9" t="inlineStr">
        <is>
          <t>tCO2e/año</t>
        </is>
      </c>
    </row>
    <row r="3">
      <c r="A3" s="19" t="inlineStr">
        <is>
          <t>Insumos hacia la bodega</t>
        </is>
      </c>
      <c r="B3" s="14" t="inlineStr">
        <is>
          <t>Botellas, insumos secos, fertilizantes (t x km)</t>
        </is>
      </c>
      <c r="C3" s="5" t="n"/>
      <c r="D3" s="24" t="inlineStr">
        <is>
          <t>t·km/año</t>
        </is>
      </c>
      <c r="E3" s="7" t="n">
        <v>0.062</v>
      </c>
      <c r="F3" s="24" t="inlineStr">
        <is>
          <t>Camión</t>
        </is>
      </c>
      <c r="G3" s="25">
        <f>IF(C3="",0,C3*E3/1000)</f>
        <v/>
      </c>
    </row>
    <row r="4">
      <c r="A4" s="19" t="inlineStr">
        <is>
          <t>Distribución nacional</t>
        </is>
      </c>
      <c r="B4" s="14" t="inlineStr">
        <is>
          <t>Bodega -&gt; distribuidores / clientes (t x km)</t>
        </is>
      </c>
      <c r="C4" s="5" t="n"/>
      <c r="D4" s="24" t="inlineStr">
        <is>
          <t>t·km/año</t>
        </is>
      </c>
      <c r="E4" s="7" t="n">
        <v>0.062</v>
      </c>
      <c r="F4" s="24" t="inlineStr">
        <is>
          <t>Camión</t>
        </is>
      </c>
      <c r="G4" s="25">
        <f>IF(C4="",0,C4*E4/1000)</f>
        <v/>
      </c>
    </row>
    <row r="5">
      <c r="A5" s="19" t="inlineStr">
        <is>
          <t>Tramo terrestre a puerto</t>
        </is>
      </c>
      <c r="B5" s="14" t="inlineStr">
        <is>
          <t>Bodega -&gt; puerto de salida (t x km)</t>
        </is>
      </c>
      <c r="C5" s="5" t="n"/>
      <c r="D5" s="24" t="inlineStr">
        <is>
          <t>t·km/año</t>
        </is>
      </c>
      <c r="E5" s="7" t="n">
        <v>0.062</v>
      </c>
      <c r="F5" s="24" t="inlineStr">
        <is>
          <t>Camión</t>
        </is>
      </c>
      <c r="G5" s="25">
        <f>IF(C5="",0,C5*E5/1000)</f>
        <v/>
      </c>
    </row>
    <row r="6">
      <c r="A6" s="19" t="inlineStr">
        <is>
          <t>Flete marítimo exportación</t>
        </is>
      </c>
      <c r="B6" s="14" t="inlineStr">
        <is>
          <t>Puerto -&gt; destino (t x km náuticos convertidos)</t>
        </is>
      </c>
      <c r="C6" s="5" t="n"/>
      <c r="D6" s="24" t="inlineStr">
        <is>
          <t>t·km/año</t>
        </is>
      </c>
      <c r="E6" s="7" t="n">
        <v>0.012</v>
      </c>
      <c r="F6" s="24" t="inlineStr">
        <is>
          <t>Buque contenedor</t>
        </is>
      </c>
      <c r="G6" s="25">
        <f>IF(C6="",0,C6*E6/1000)</f>
        <v/>
      </c>
    </row>
    <row r="7">
      <c r="A7" s="19" t="inlineStr">
        <is>
          <t>Ferrocarril (si aplica)</t>
        </is>
      </c>
      <c r="B7" s="14" t="inlineStr">
        <is>
          <t>Tramos ferroviarios de carga (t x km)</t>
        </is>
      </c>
      <c r="C7" s="5" t="n"/>
      <c r="D7" s="24" t="inlineStr">
        <is>
          <t>t·km/año</t>
        </is>
      </c>
      <c r="E7" s="7" t="n">
        <v>0.022</v>
      </c>
      <c r="F7" s="24" t="inlineStr">
        <is>
          <t>Tren</t>
        </is>
      </c>
      <c r="G7" s="25">
        <f>IF(C7="",0,C7*E7/1000)</f>
        <v/>
      </c>
    </row>
    <row r="8">
      <c r="A8" s="31" t="inlineStr">
        <is>
          <t>SUBTOTAL S3 — TRANSPORTE (tCO2e/año)</t>
        </is>
      </c>
      <c r="G8" s="25">
        <f>SUM(G3:G7)</f>
        <v/>
      </c>
    </row>
    <row r="9">
      <c r="A9" s="22" t="inlineStr">
        <is>
          <t>t·km = toneladas transportadas x kilómetros recorridos. Ej.: 120 t de vino a un puerto a 1.200 km = 144.000 t·km. FE de referencia: camión carga completa 0,062 / tren 0,022 / buque contenedor 0,012 kg CO2e/t·km (valores medios bibliografía logística, ajustables con datos del operador).</t>
        </is>
      </c>
    </row>
  </sheetData>
  <mergeCells count="3">
    <mergeCell ref="A8:F8"/>
    <mergeCell ref="A1:G1"/>
    <mergeCell ref="A9:G9"/>
  </mergeCells>
  <pageMargins left="0.75" right="0.75" top="1" bottom="1" header="0.5" footer="0.5"/>
</worksheet>
</file>

<file path=xl/worksheets/sheet11.xml><?xml version="1.0" encoding="utf-8"?>
<worksheet xmlns="http://schemas.openxmlformats.org/spreadsheetml/2006/main">
  <sheetPr>
    <tabColor rgb="001F3864"/>
    <outlinePr summaryBelow="1" summaryRight="1"/>
    <pageSetUpPr/>
  </sheetPr>
  <dimension ref="A1:E29"/>
  <sheetViews>
    <sheetView workbookViewId="0">
      <selection activeCell="A1" sqref="A1"/>
    </sheetView>
  </sheetViews>
  <sheetFormatPr baseColWidth="8" defaultRowHeight="15"/>
  <cols>
    <col width="36" customWidth="1" min="1" max="1"/>
    <col width="34" customWidth="1" min="2" max="2"/>
    <col width="14" customWidth="1" min="3" max="3"/>
    <col width="16" customWidth="1" min="4" max="4"/>
    <col width="40" customWidth="1" min="5" max="5"/>
  </cols>
  <sheetData>
    <row r="1">
      <c r="A1" s="32" t="inlineStr">
        <is>
          <t>TABLA DE FACTORES DE EMISIÓN DE REFERENCIA — SOLO LECTURA</t>
        </is>
      </c>
    </row>
    <row r="2">
      <c r="A2" s="22" t="inlineStr">
        <is>
          <t>Fuentes: IPCC 2006 / 2019 Refinement | GWP IPCC AR6 (2021) | GHG Protocol | CAMMESA | Protocolo OIV GEI | PwC-Amorim (cierres) | Glass Alliance Europe (vidrio). NO modificar esta hoja.</t>
        </is>
      </c>
    </row>
    <row r="3">
      <c r="A3" s="9" t="inlineStr">
        <is>
          <t>Fuente / Actividad</t>
        </is>
      </c>
      <c r="B3" s="9" t="inlineStr">
        <is>
          <t>Aplicación</t>
        </is>
      </c>
      <c r="C3" s="9" t="inlineStr">
        <is>
          <t>FE</t>
        </is>
      </c>
      <c r="D3" s="9" t="inlineStr">
        <is>
          <t>Unidad</t>
        </is>
      </c>
      <c r="E3" s="9" t="inlineStr">
        <is>
          <t>Fuente bibliográfica</t>
        </is>
      </c>
    </row>
    <row r="4">
      <c r="A4" s="4" t="inlineStr">
        <is>
          <t>Gasoil (diesel)</t>
        </is>
      </c>
      <c r="B4" s="14" t="inlineStr">
        <is>
          <t>Combustión móvil y fija</t>
        </is>
      </c>
      <c r="C4" s="7" t="n">
        <v>2.68</v>
      </c>
      <c r="D4" s="24" t="inlineStr">
        <is>
          <t>kg CO2e/L</t>
        </is>
      </c>
      <c r="E4" s="14" t="inlineStr">
        <is>
          <t>IPCC 2006 Vol. 2 — CO2+CH4+N2O combinado</t>
        </is>
      </c>
    </row>
    <row r="5">
      <c r="A5" s="4" t="inlineStr">
        <is>
          <t>Nafta (gasolina)</t>
        </is>
      </c>
      <c r="B5" s="14" t="inlineStr">
        <is>
          <t>Vehículos livianos</t>
        </is>
      </c>
      <c r="C5" s="7" t="n">
        <v>2.31</v>
      </c>
      <c r="D5" s="24" t="inlineStr">
        <is>
          <t>kg CO2e/L</t>
        </is>
      </c>
      <c r="E5" s="14" t="inlineStr">
        <is>
          <t>IPCC 2006 Vol. 2</t>
        </is>
      </c>
    </row>
    <row r="6">
      <c r="A6" s="4" t="inlineStr">
        <is>
          <t>Gas natural</t>
        </is>
      </c>
      <c r="B6" s="14" t="inlineStr">
        <is>
          <t>Caldera / calefacción</t>
        </is>
      </c>
      <c r="C6" s="7" t="n">
        <v>2.04</v>
      </c>
      <c r="D6" s="24" t="inlineStr">
        <is>
          <t>kg CO2e/m3</t>
        </is>
      </c>
      <c r="E6" s="14" t="inlineStr">
        <is>
          <t>IPCC 2006 Vol. 2</t>
        </is>
      </c>
    </row>
    <row r="7">
      <c r="A7" s="4" t="inlineStr">
        <is>
          <t>GLP</t>
        </is>
      </c>
      <c r="B7" s="14" t="inlineStr">
        <is>
          <t>Garrafas / zeppelin</t>
        </is>
      </c>
      <c r="C7" s="7" t="n">
        <v>3.02</v>
      </c>
      <c r="D7" s="24" t="inlineStr">
        <is>
          <t>kg CO2e/kg</t>
        </is>
      </c>
      <c r="E7" s="14" t="inlineStr">
        <is>
          <t>IPCC 2006 Vol. 2</t>
        </is>
      </c>
    </row>
    <row r="8">
      <c r="A8" s="4" t="inlineStr">
        <is>
          <t>Nitrógeno al suelo (N2O directo)</t>
        </is>
      </c>
      <c r="B8" s="14" t="inlineStr">
        <is>
          <t>Fertilización del viñedo</t>
        </is>
      </c>
      <c r="C8" s="7" t="n">
        <v>4.29</v>
      </c>
      <c r="D8" s="24" t="inlineStr">
        <is>
          <t>kg CO2e/kg N</t>
        </is>
      </c>
      <c r="E8" s="14" t="inlineStr">
        <is>
          <t>IPCC 2019 Ref. EF1=0,01 x 44/28 x GWP 273 (AR6)</t>
        </is>
      </c>
    </row>
    <row r="9">
      <c r="A9" s="4" t="inlineStr">
        <is>
          <t>Urea — hidrólisis</t>
        </is>
      </c>
      <c r="B9" s="14" t="inlineStr">
        <is>
          <t>Aplicación de urea</t>
        </is>
      </c>
      <c r="C9" s="7" t="n">
        <v>0.733</v>
      </c>
      <c r="D9" s="24" t="inlineStr">
        <is>
          <t>kg CO2/kg urea</t>
        </is>
      </c>
      <c r="E9" s="14" t="inlineStr">
        <is>
          <t>IPCC 2006 Vol. 4 (0,20 C x 44/12)</t>
        </is>
      </c>
    </row>
    <row r="10">
      <c r="A10" s="4" t="inlineStr">
        <is>
          <t>Cal agrícola</t>
        </is>
      </c>
      <c r="B10" s="14" t="inlineStr">
        <is>
          <t>Encalado</t>
        </is>
      </c>
      <c r="C10" s="7" t="n">
        <v>0.44</v>
      </c>
      <c r="D10" s="24" t="inlineStr">
        <is>
          <t>kg CO2/kg</t>
        </is>
      </c>
      <c r="E10" s="14" t="inlineStr">
        <is>
          <t>IPCC 2006 Vol. 4</t>
        </is>
      </c>
    </row>
    <row r="11">
      <c r="A11" s="4" t="inlineStr">
        <is>
          <t>Dolomita</t>
        </is>
      </c>
      <c r="B11" s="14" t="inlineStr">
        <is>
          <t>Encalado</t>
        </is>
      </c>
      <c r="C11" s="7" t="n">
        <v>0.477</v>
      </c>
      <c r="D11" s="24" t="inlineStr">
        <is>
          <t>kg CO2/kg</t>
        </is>
      </c>
      <c r="E11" s="14" t="inlineStr">
        <is>
          <t>IPCC 2006 Vol. 4</t>
        </is>
      </c>
    </row>
    <row r="12">
      <c r="A12" s="4" t="inlineStr">
        <is>
          <t>R-134a</t>
        </is>
      </c>
      <c r="B12" s="14" t="inlineStr">
        <is>
          <t>Refrigerante chillers</t>
        </is>
      </c>
      <c r="C12" s="7" t="n">
        <v>1530</v>
      </c>
      <c r="D12" s="24" t="inlineStr">
        <is>
          <t>GWP 100 años</t>
        </is>
      </c>
      <c r="E12" s="14" t="inlineStr">
        <is>
          <t>IPCC AR6 (2021)</t>
        </is>
      </c>
    </row>
    <row r="13">
      <c r="A13" s="4" t="inlineStr">
        <is>
          <t>R-404A</t>
        </is>
      </c>
      <c r="B13" s="14" t="inlineStr">
        <is>
          <t>Refrigerante cámaras</t>
        </is>
      </c>
      <c r="C13" s="7" t="n">
        <v>4728</v>
      </c>
      <c r="D13" s="24" t="inlineStr">
        <is>
          <t>GWP 100 años</t>
        </is>
      </c>
      <c r="E13" s="14" t="inlineStr">
        <is>
          <t>IPCC AR6 (2021) — mezcla</t>
        </is>
      </c>
    </row>
    <row r="14">
      <c r="A14" s="4" t="inlineStr">
        <is>
          <t>R-410A</t>
        </is>
      </c>
      <c r="B14" s="14" t="inlineStr">
        <is>
          <t>Aire acondicionado</t>
        </is>
      </c>
      <c r="C14" s="7" t="n">
        <v>2256</v>
      </c>
      <c r="D14" s="24" t="inlineStr">
        <is>
          <t>GWP 100 años</t>
        </is>
      </c>
      <c r="E14" s="14" t="inlineStr">
        <is>
          <t>IPCC AR6 (2021) — mezcla</t>
        </is>
      </c>
    </row>
    <row r="15">
      <c r="A15" s="4" t="inlineStr">
        <is>
          <t>R-22 (HCFC)</t>
        </is>
      </c>
      <c r="B15" s="14" t="inlineStr">
        <is>
          <t>Equipos antiguos</t>
        </is>
      </c>
      <c r="C15" s="7" t="n">
        <v>1960</v>
      </c>
      <c r="D15" s="24" t="inlineStr">
        <is>
          <t>GWP 100 años</t>
        </is>
      </c>
      <c r="E15" s="14" t="inlineStr">
        <is>
          <t>IPCC AR6 (2021)</t>
        </is>
      </c>
    </row>
    <row r="16">
      <c r="A16" s="4" t="inlineStr">
        <is>
          <t>Red eléctrica Argentina</t>
        </is>
      </c>
      <c r="B16" s="14" t="inlineStr">
        <is>
          <t>Scope 2 — localización</t>
        </is>
      </c>
      <c r="C16" s="7" t="n">
        <v>0.383</v>
      </c>
      <c r="D16" s="24" t="inlineStr">
        <is>
          <t>kg CO2e/kWh</t>
        </is>
      </c>
      <c r="E16" s="14" t="inlineStr">
        <is>
          <t>CAMMESA 2023 — verificar vigencia anual</t>
        </is>
      </c>
    </row>
    <row r="17">
      <c r="A17" s="4" t="inlineStr">
        <is>
          <t>Vidrio nuevo (botellas)</t>
        </is>
      </c>
      <c r="B17" s="14" t="inlineStr">
        <is>
          <t>Fabricación de envase</t>
        </is>
      </c>
      <c r="C17" s="7" t="n">
        <v>1.2</v>
      </c>
      <c r="D17" s="24" t="inlineStr">
        <is>
          <t>kg CO2e/kg</t>
        </is>
      </c>
      <c r="E17" s="14" t="inlineStr">
        <is>
          <t>Promedio LCA europeos; -2% por cada 10% reciclado (Glass Alliance)</t>
        </is>
      </c>
    </row>
    <row r="18">
      <c r="A18" s="4" t="inlineStr">
        <is>
          <t>Corcho natural</t>
        </is>
      </c>
      <c r="B18" s="14" t="inlineStr">
        <is>
          <t>Cierre</t>
        </is>
      </c>
      <c r="C18" s="7" t="n">
        <v>0.00183</v>
      </c>
      <c r="D18" s="24" t="inlineStr">
        <is>
          <t>kg CO2e/unidad</t>
        </is>
      </c>
      <c r="E18" s="14" t="inlineStr">
        <is>
          <t>PwC para Amorim (2008) — fase producción</t>
        </is>
      </c>
    </row>
    <row r="19">
      <c r="A19" s="4" t="inlineStr">
        <is>
          <t>Tapón sintético</t>
        </is>
      </c>
      <c r="B19" s="14" t="inlineStr">
        <is>
          <t>Cierre</t>
        </is>
      </c>
      <c r="C19" s="7" t="n">
        <v>0.0148</v>
      </c>
      <c r="D19" s="24" t="inlineStr">
        <is>
          <t>kg CO2e/unidad</t>
        </is>
      </c>
      <c r="E19" s="14" t="inlineStr">
        <is>
          <t>PwC para Amorim (2008)</t>
        </is>
      </c>
    </row>
    <row r="20">
      <c r="A20" s="4" t="inlineStr">
        <is>
          <t>Tapa rosca aluminio</t>
        </is>
      </c>
      <c r="B20" s="14" t="inlineStr">
        <is>
          <t>Cierre</t>
        </is>
      </c>
      <c r="C20" s="7" t="n">
        <v>0.0372</v>
      </c>
      <c r="D20" s="24" t="inlineStr">
        <is>
          <t>kg CO2e/unidad</t>
        </is>
      </c>
      <c r="E20" s="14" t="inlineStr">
        <is>
          <t>PwC para Amorim (2008)</t>
        </is>
      </c>
    </row>
    <row r="21">
      <c r="A21" s="4" t="inlineStr">
        <is>
          <t>Aluminio (cápsulas)</t>
        </is>
      </c>
      <c r="B21" s="14" t="inlineStr">
        <is>
          <t>Packaging</t>
        </is>
      </c>
      <c r="C21" s="7" t="n">
        <v>8.6</v>
      </c>
      <c r="D21" s="24" t="inlineStr">
        <is>
          <t>kg CO2e/kg</t>
        </is>
      </c>
      <c r="E21" s="14" t="inlineStr">
        <is>
          <t>Promedio aluminio primario — bibliografía</t>
        </is>
      </c>
    </row>
    <row r="22">
      <c r="A22" s="4" t="inlineStr">
        <is>
          <t>Papel (etiquetas)</t>
        </is>
      </c>
      <c r="B22" s="14" t="inlineStr">
        <is>
          <t>Packaging</t>
        </is>
      </c>
      <c r="C22" s="7" t="n">
        <v>1.1</v>
      </c>
      <c r="D22" s="24" t="inlineStr">
        <is>
          <t>kg CO2e/kg</t>
        </is>
      </c>
      <c r="E22" s="14" t="inlineStr">
        <is>
          <t>Promedio bibliografía packaging</t>
        </is>
      </c>
    </row>
    <row r="23">
      <c r="A23" s="4" t="inlineStr">
        <is>
          <t>Cartón (cajas)</t>
        </is>
      </c>
      <c r="B23" s="14" t="inlineStr">
        <is>
          <t>Packaging</t>
        </is>
      </c>
      <c r="C23" s="7" t="n">
        <v>0.9399999999999999</v>
      </c>
      <c r="D23" s="24" t="inlineStr">
        <is>
          <t>kg CO2e/kg</t>
        </is>
      </c>
      <c r="E23" s="14" t="inlineStr">
        <is>
          <t>LCA cradle-to-grave cartón corrugado</t>
        </is>
      </c>
    </row>
    <row r="24">
      <c r="A24" s="4" t="inlineStr">
        <is>
          <t>Fertilizantes (fabricación)</t>
        </is>
      </c>
      <c r="B24" s="14" t="inlineStr">
        <is>
          <t>Scope 3 upstream</t>
        </is>
      </c>
      <c r="C24" s="7" t="n">
        <v>1.2</v>
      </c>
      <c r="D24" s="24" t="inlineStr">
        <is>
          <t>kg CO2e/kg</t>
        </is>
      </c>
      <c r="E24" s="14" t="inlineStr">
        <is>
          <t>Promedio bibliografía</t>
        </is>
      </c>
    </row>
    <row r="25">
      <c r="A25" s="4" t="inlineStr">
        <is>
          <t>Agroquímicos (fabricación)</t>
        </is>
      </c>
      <c r="B25" s="14" t="inlineStr">
        <is>
          <t>Scope 3 upstream</t>
        </is>
      </c>
      <c r="C25" s="7" t="n">
        <v>6.3</v>
      </c>
      <c r="D25" s="24" t="inlineStr">
        <is>
          <t>kg CO2e/kg</t>
        </is>
      </c>
      <c r="E25" s="14" t="inlineStr">
        <is>
          <t>Promedio bibliografía</t>
        </is>
      </c>
    </row>
    <row r="26">
      <c r="A26" s="4" t="inlineStr">
        <is>
          <t>Camión de carga</t>
        </is>
      </c>
      <c r="B26" s="14" t="inlineStr">
        <is>
          <t>Transporte</t>
        </is>
      </c>
      <c r="C26" s="7" t="n">
        <v>0.062</v>
      </c>
      <c r="D26" s="24" t="inlineStr">
        <is>
          <t>kg CO2e/t·km</t>
        </is>
      </c>
      <c r="E26" s="14" t="inlineStr">
        <is>
          <t>Valores medios logística</t>
        </is>
      </c>
    </row>
    <row r="27">
      <c r="A27" s="4" t="inlineStr">
        <is>
          <t>Tren de carga</t>
        </is>
      </c>
      <c r="B27" s="14" t="inlineStr">
        <is>
          <t>Transporte</t>
        </is>
      </c>
      <c r="C27" s="7" t="n">
        <v>0.022</v>
      </c>
      <c r="D27" s="24" t="inlineStr">
        <is>
          <t>kg CO2e/t·km</t>
        </is>
      </c>
      <c r="E27" s="14" t="inlineStr">
        <is>
          <t>Valores medios logística</t>
        </is>
      </c>
    </row>
    <row r="28">
      <c r="A28" s="4" t="inlineStr">
        <is>
          <t>Buque portacontenedores</t>
        </is>
      </c>
      <c r="B28" s="14" t="inlineStr">
        <is>
          <t>Exportación marítima</t>
        </is>
      </c>
      <c r="C28" s="7" t="n">
        <v>0.012</v>
      </c>
      <c r="D28" s="24" t="inlineStr">
        <is>
          <t>kg CO2e/t·km</t>
        </is>
      </c>
      <c r="E28" s="14" t="inlineStr">
        <is>
          <t>Valores medios logística</t>
        </is>
      </c>
    </row>
    <row r="29">
      <c r="A29" s="4" t="inlineStr">
        <is>
          <t>CO2 fermentación (biogénico)</t>
        </is>
      </c>
      <c r="B29" s="14" t="inlineStr">
        <is>
          <t>Informativo — fuera del total</t>
        </is>
      </c>
      <c r="C29" s="7" t="n">
        <v>0.098</v>
      </c>
      <c r="D29" s="24" t="inlineStr">
        <is>
          <t>kg CO2/L vino</t>
        </is>
      </c>
      <c r="E29" s="14" t="inlineStr">
        <is>
          <t>Estequiometría, vino 13% vol — criterio OIV/FIVS</t>
        </is>
      </c>
    </row>
  </sheetData>
  <mergeCells count="2">
    <mergeCell ref="A2:E2"/>
    <mergeCell ref="A1:E1"/>
  </mergeCells>
  <pageMargins left="0.75" right="0.75" top="1" bottom="1" header="0.5" footer="0.5"/>
</worksheet>
</file>

<file path=xl/worksheets/sheet12.xml><?xml version="1.0" encoding="utf-8"?>
<worksheet xmlns="http://schemas.openxmlformats.org/spreadsheetml/2006/main">
  <sheetPr>
    <tabColor rgb="00ED7D31"/>
    <outlinePr summaryBelow="1" summaryRight="1"/>
    <pageSetUpPr/>
  </sheetPr>
  <dimension ref="A1:E24"/>
  <sheetViews>
    <sheetView workbookViewId="0">
      <selection activeCell="A1" sqref="A1"/>
    </sheetView>
  </sheetViews>
  <sheetFormatPr baseColWidth="8" defaultRowHeight="15"/>
  <cols>
    <col width="14" customWidth="1" min="1" max="1"/>
    <col width="44" customWidth="1" min="2" max="2"/>
    <col width="14" customWidth="1" min="3" max="3"/>
    <col width="16" customWidth="1" min="4" max="4"/>
    <col width="44" customWidth="1" min="5" max="5"/>
  </cols>
  <sheetData>
    <row r="1">
      <c r="A1" s="33" t="inlineStr">
        <is>
          <t>RESUMEN DEL INVENTARIO — HUELLA DE CARBONO DE LA BODEGA</t>
        </is>
      </c>
    </row>
    <row r="2">
      <c r="A2" s="9" t="inlineStr">
        <is>
          <t>Código</t>
        </is>
      </c>
      <c r="B2" s="9" t="inlineStr">
        <is>
          <t>Categoría</t>
        </is>
      </c>
      <c r="C2" s="9" t="inlineStr">
        <is>
          <t>Alcance</t>
        </is>
      </c>
      <c r="D2" s="9" t="inlineStr">
        <is>
          <t>tCO2e/año</t>
        </is>
      </c>
      <c r="E2" s="9" t="inlineStr">
        <is>
          <t>Origen del dato</t>
        </is>
      </c>
    </row>
    <row r="3">
      <c r="A3" s="12" t="inlineStr">
        <is>
          <t>S1-1</t>
        </is>
      </c>
      <c r="B3" s="13" t="inlineStr">
        <is>
          <t>Combustión móvil (maquinaria y vehículos)</t>
        </is>
      </c>
      <c r="C3" s="34" t="inlineStr">
        <is>
          <t>Scope 1</t>
        </is>
      </c>
      <c r="D3" s="25">
        <f>'S1 MAQUINARIA'!G9</f>
        <v/>
      </c>
      <c r="E3" s="14" t="inlineStr">
        <is>
          <t>Subtotal automático de la hoja S1 MAQUINARIA</t>
        </is>
      </c>
    </row>
    <row r="4">
      <c r="A4" s="12" t="inlineStr">
        <is>
          <t>S1-2</t>
        </is>
      </c>
      <c r="B4" s="13" t="inlineStr">
        <is>
          <t>Combustión estacionaria</t>
        </is>
      </c>
      <c r="C4" s="34" t="inlineStr">
        <is>
          <t>Scope 1</t>
        </is>
      </c>
      <c r="D4" s="25">
        <f>'S1 ENERGIA FIJA'!G7</f>
        <v/>
      </c>
      <c r="E4" s="14" t="inlineStr">
        <is>
          <t>Subtotal automático de la hoja S1 ENERGIA FIJA</t>
        </is>
      </c>
    </row>
    <row r="5">
      <c r="A5" s="12" t="inlineStr">
        <is>
          <t>S1-3</t>
        </is>
      </c>
      <c r="B5" s="13" t="inlineStr">
        <is>
          <t>Viñedo — N2O y enmiendas</t>
        </is>
      </c>
      <c r="C5" s="34" t="inlineStr">
        <is>
          <t>Scope 1</t>
        </is>
      </c>
      <c r="D5" s="25">
        <f>'S1 VIÑEDO'!G7</f>
        <v/>
      </c>
      <c r="E5" s="14" t="inlineStr">
        <is>
          <t>Subtotal automático de la hoja S1 VIÑEDO</t>
        </is>
      </c>
    </row>
    <row r="6">
      <c r="A6" s="12" t="inlineStr">
        <is>
          <t>S1-4</t>
        </is>
      </c>
      <c r="B6" s="13" t="inlineStr">
        <is>
          <t>Refrigerantes (fugas)</t>
        </is>
      </c>
      <c r="C6" s="34" t="inlineStr">
        <is>
          <t>Scope 1</t>
        </is>
      </c>
      <c r="D6" s="25">
        <f>'S1 REFRIGERANTES'!F8</f>
        <v/>
      </c>
      <c r="E6" s="14" t="inlineStr">
        <is>
          <t>Subtotal automático de la hoja S1 REFRIGERANTES</t>
        </is>
      </c>
    </row>
    <row r="7">
      <c r="A7" s="16" t="inlineStr">
        <is>
          <t>S2-1</t>
        </is>
      </c>
      <c r="B7" s="17" t="inlineStr">
        <is>
          <t>Electricidad de red</t>
        </is>
      </c>
      <c r="C7" s="35" t="inlineStr">
        <is>
          <t>Scope 2</t>
        </is>
      </c>
      <c r="D7" s="25">
        <f>'S2 ELECTRICIDAD'!F5</f>
        <v/>
      </c>
      <c r="E7" s="14" t="inlineStr">
        <is>
          <t>Subtotal automático de la hoja S2 ELECTRICIDAD</t>
        </is>
      </c>
    </row>
    <row r="8">
      <c r="A8" s="18" t="inlineStr">
        <is>
          <t>S3-1</t>
        </is>
      </c>
      <c r="B8" s="19" t="inlineStr">
        <is>
          <t>Envases y embalajes</t>
        </is>
      </c>
      <c r="C8" s="36" t="inlineStr">
        <is>
          <t>Scope 3</t>
        </is>
      </c>
      <c r="D8" s="25">
        <f>'S3 ENVASES'!G16</f>
        <v/>
      </c>
      <c r="E8" s="14" t="inlineStr">
        <is>
          <t>Subtotal automático de la hoja S3 ENVASES</t>
        </is>
      </c>
    </row>
    <row r="9">
      <c r="A9" s="18" t="inlineStr">
        <is>
          <t>S3-2</t>
        </is>
      </c>
      <c r="B9" s="19" t="inlineStr">
        <is>
          <t>Insumos comprados (fabricación)</t>
        </is>
      </c>
      <c r="C9" s="36" t="inlineStr">
        <is>
          <t>Scope 3</t>
        </is>
      </c>
      <c r="D9" s="25">
        <f>'S3 INSUMOS'!G7</f>
        <v/>
      </c>
      <c r="E9" s="14" t="inlineStr">
        <is>
          <t>Subtotal automático de la hoja S3 INSUMOS</t>
        </is>
      </c>
    </row>
    <row r="10">
      <c r="A10" s="18" t="inlineStr">
        <is>
          <t>S3-3</t>
        </is>
      </c>
      <c r="B10" s="19" t="inlineStr">
        <is>
          <t>Transporte y distribución</t>
        </is>
      </c>
      <c r="C10" s="36" t="inlineStr">
        <is>
          <t>Scope 3</t>
        </is>
      </c>
      <c r="D10" s="25">
        <f>'S3 TRANSPORTE'!G8</f>
        <v/>
      </c>
      <c r="E10" s="14" t="inlineStr">
        <is>
          <t>Subtotal automático de la hoja S3 TRANSPORTE</t>
        </is>
      </c>
    </row>
    <row r="12">
      <c r="A12" s="26" t="inlineStr">
        <is>
          <t>TOTAL SCOPE 1 (tCO2e/año)</t>
        </is>
      </c>
      <c r="D12" s="25">
        <f>SUM(D3:D6)</f>
        <v/>
      </c>
      <c r="E12" s="14" t="inlineStr"/>
    </row>
    <row r="13">
      <c r="A13" s="29" t="inlineStr">
        <is>
          <t>TOTAL SCOPE 2 (tCO2e/año)</t>
        </is>
      </c>
      <c r="D13" s="25">
        <f>D7</f>
        <v/>
      </c>
      <c r="E13" s="14" t="inlineStr"/>
    </row>
    <row r="14">
      <c r="A14" s="31" t="inlineStr">
        <is>
          <t>TOTAL SCOPE 3 (tCO2e/año)</t>
        </is>
      </c>
      <c r="D14" s="25">
        <f>SUM(D8:D10)</f>
        <v/>
      </c>
      <c r="E14" s="14" t="inlineStr"/>
    </row>
    <row r="15">
      <c r="A15" s="37" t="inlineStr">
        <is>
          <t>TOTAL HUELLA DE CARBONO (S1+S2+S3)</t>
        </is>
      </c>
      <c r="D15" s="25">
        <f>D12+D13+D14</f>
        <v/>
      </c>
      <c r="E15" s="14" t="inlineStr"/>
    </row>
    <row r="17">
      <c r="A17" s="38" t="inlineStr">
        <is>
          <t>CO2 biogénico de fermentación (informativo — NO suma)</t>
        </is>
      </c>
      <c r="D17" s="25">
        <f>'FERMENTACION (INFO)'!F3</f>
        <v/>
      </c>
      <c r="E17" s="14" t="inlineStr">
        <is>
          <t>Criterio OIV/FIVS: carbono de ciclo corto, se reporta por separado</t>
        </is>
      </c>
    </row>
    <row r="19">
      <c r="A19" s="3" t="inlineStr">
        <is>
          <t>INTENSIDAD DE EMISIONES (indicador organizacional)</t>
        </is>
      </c>
    </row>
    <row r="20">
      <c r="A20" s="14" t="inlineStr"/>
      <c r="B20" s="4" t="inlineStr">
        <is>
          <t>Botellas producidas por año (de PORTADA)</t>
        </is>
      </c>
      <c r="C20" s="14" t="inlineStr"/>
      <c r="D20" s="25">
        <f>PORTADA!B11</f>
        <v/>
      </c>
      <c r="E20" s="14" t="inlineStr">
        <is>
          <t>Equivalente 0,75 L</t>
        </is>
      </c>
    </row>
    <row r="21">
      <c r="A21" s="14" t="inlineStr"/>
      <c r="B21" s="4" t="inlineStr">
        <is>
          <t>kg CO2e por botella (S1+S2+S3)</t>
        </is>
      </c>
      <c r="C21" s="14" t="inlineStr"/>
      <c r="D21" s="25">
        <f>IF(D20=0,0,D15*1000/D20)</f>
        <v/>
      </c>
      <c r="E21" s="14" t="inlineStr">
        <is>
          <t>Benchmark bibliográfico: 0,9 a 1,9 kg CO2e/botella (cradle-to-grave)</t>
        </is>
      </c>
    </row>
    <row r="22">
      <c r="A22" s="14" t="inlineStr"/>
      <c r="B22" s="4" t="inlineStr">
        <is>
          <t>kg CO2e por litro de vino</t>
        </is>
      </c>
      <c r="C22" s="14" t="inlineStr"/>
      <c r="D22" s="25">
        <f>IF(PORTADA!B10=0,0,D15*1000/PORTADA!B10)</f>
        <v/>
      </c>
      <c r="E22" s="14" t="inlineStr">
        <is>
          <t>Litros de PORTADA</t>
        </is>
      </c>
    </row>
    <row r="24">
      <c r="A24" s="22" t="inlineStr">
        <is>
          <t>La intensidad por botella es un indicador ORGANIZACIONAL (total de la bodega dividido por la producción). No constituye una huella de producto certificable bajo ISO 14067, que exige asignación por línea de producto y ciclo de vida completo. Es válida y útil como indicador de gestión y para comunicación con compradores, declarando la metodología.</t>
        </is>
      </c>
    </row>
  </sheetData>
  <mergeCells count="8">
    <mergeCell ref="A13:C13"/>
    <mergeCell ref="A24:E24"/>
    <mergeCell ref="A14:C14"/>
    <mergeCell ref="A19:E19"/>
    <mergeCell ref="A17:C17"/>
    <mergeCell ref="A1:E1"/>
    <mergeCell ref="A12:C12"/>
    <mergeCell ref="A15:C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2026-06-11T15:26:00Z</dcterms:created>
  <dcterms:modified xmlns:dcterms="http://purl.org/dc/terms/" xmlns:xsi="http://www.w3.org/2001/XMLSchema-instance" xsi:type="dcterms:W3CDTF">2026-06-11T15:26:00Z</dcterms:modified>
</cp:coreProperties>
</file>