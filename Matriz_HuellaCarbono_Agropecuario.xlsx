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S1-1 MAQUINARIA" sheetId="2" state="visible" r:id="rId2"/>
    <sheet xmlns:r="http://schemas.openxmlformats.org/officeDocument/2006/relationships" name="S1-2 ENERGIA ESTAC" sheetId="3" state="visible" r:id="rId3"/>
    <sheet xmlns:r="http://schemas.openxmlformats.org/officeDocument/2006/relationships" name="S1-3 GANADERIA" sheetId="4" state="visible" r:id="rId4"/>
    <sheet xmlns:r="http://schemas.openxmlformats.org/officeDocument/2006/relationships" name="S1-4 SUELOS AGRICOLAS" sheetId="5" state="visible" r:id="rId5"/>
    <sheet xmlns:r="http://schemas.openxmlformats.org/officeDocument/2006/relationships" name="S1-5 EFLUENTES" sheetId="6" state="visible" r:id="rId6"/>
    <sheet xmlns:r="http://schemas.openxmlformats.org/officeDocument/2006/relationships" name="S2-1 ELECTRICIDAD" sheetId="7" state="visible" r:id="rId7"/>
    <sheet xmlns:r="http://schemas.openxmlformats.org/officeDocument/2006/relationships" name="SUMIDEROS" sheetId="8" state="visible" r:id="rId8"/>
    <sheet xmlns:r="http://schemas.openxmlformats.org/officeDocument/2006/relationships" name="FACTORES EMISION" sheetId="9" state="visible" r:id="rId9"/>
    <sheet xmlns:r="http://schemas.openxmlformats.org/officeDocument/2006/relationships" name="RESUMEN 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FFFFFF"/>
      <sz val="11"/>
    </font>
    <font>
      <b val="1"/>
      <color rgb="FF000000"/>
      <sz val="10"/>
    </font>
    <font>
      <color rgb="FF000000"/>
      <sz val="10"/>
    </font>
    <font>
      <color rgb="FF1F3864"/>
      <sz val="10"/>
    </font>
    <font>
      <b val="1"/>
      <color rgb="FF375623"/>
      <sz val="10"/>
    </font>
    <font>
      <b val="1"/>
      <color rgb="FF1F3864"/>
      <sz val="10"/>
    </font>
    <font>
      <b val="1"/>
      <color rgb="FF000000"/>
      <sz val="9"/>
    </font>
    <font>
      <b val="1"/>
      <color rgb="FFFFFFFF"/>
      <sz val="13"/>
    </font>
    <font>
      <color rgb="FF000000"/>
      <sz val="9"/>
    </font>
    <font>
      <b val="1"/>
      <color rgb="FFFFFFFF"/>
      <sz val="9"/>
    </font>
    <font>
      <i val="1"/>
      <color rgb="FF375623"/>
      <sz val="10"/>
    </font>
    <font>
      <color rgb="FF7F6000"/>
      <sz val="9"/>
    </font>
    <font>
      <b val="1"/>
      <color rgb="FFFFFFFF"/>
      <sz val="10"/>
    </font>
    <font>
      <b val="1"/>
      <color rgb="FFFFFFFF"/>
      <sz val="8"/>
    </font>
    <font>
      <color rgb="FF1F3864"/>
      <sz val="9"/>
    </font>
    <font>
      <b val="1"/>
      <color rgb="FF000000"/>
      <sz val="11"/>
    </font>
    <font>
      <color rgb="FF375623"/>
      <sz val="9"/>
    </font>
    <font>
      <i val="1"/>
      <color rgb="FF000000"/>
      <sz val="8"/>
    </font>
    <font>
      <b val="1"/>
      <color rgb="FFFFFFFF"/>
      <sz val="14"/>
    </font>
    <font>
      <i val="1"/>
      <color rgb="FF375623"/>
      <sz val="9"/>
    </font>
    <font>
      <b val="1"/>
      <color rgb="FFFFFFFF"/>
      <sz val="12"/>
    </font>
  </fonts>
  <fills count="20">
    <fill>
      <patternFill/>
    </fill>
    <fill>
      <patternFill patternType="gray125"/>
    </fill>
    <fill>
      <patternFill patternType="solid">
        <fgColor rgb="FF243F60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99"/>
      </patternFill>
    </fill>
    <fill>
      <patternFill patternType="solid">
        <fgColor rgb="FFDCE6F1"/>
      </patternFill>
    </fill>
    <fill>
      <patternFill patternType="solid">
        <fgColor rgb="FFBDD7EE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BFBFBF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C00000"/>
      </patternFill>
    </fill>
    <fill>
      <patternFill patternType="solid">
        <fgColor rgb="FFFFFFFF"/>
      </patternFill>
    </fill>
    <fill>
      <patternFill patternType="solid">
        <fgColor rgb="FFF9F9F9"/>
      </patternFill>
    </fill>
    <fill>
      <patternFill patternType="solid">
        <fgColor rgb="FFFFF2CC"/>
      </patternFill>
    </fill>
    <fill>
      <patternFill patternType="solid">
        <fgColor rgb="FF0070C0"/>
      </patternFill>
    </fill>
    <fill>
      <patternFill patternType="solid">
        <fgColor rgb="FF375623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13" fillId="16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4" fillId="18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left" vertical="center" wrapText="1"/>
    </xf>
    <xf numFmtId="0" fontId="4" fillId="19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3F60"/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32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MATRIZ DE RECOPILACIÓN DE DATOS — HUELLA DE CARBONO CORPORATIVA</t>
        </is>
      </c>
    </row>
    <row r="2" ht="28" customHeight="1">
      <c r="A2" s="2" t="inlineStr">
        <is>
          <t>GHG Protocol (Corporate Standard)  +  ISO 14064-1:2018  |  Sector Agropecuario</t>
        </is>
      </c>
    </row>
    <row r="3" ht="12" customHeight="1"/>
    <row r="4" ht="28" customHeight="1">
      <c r="A4" s="3" t="inlineStr">
        <is>
          <t>IDENTIFICACIÓN DEL ESTABLECIMIENTO</t>
        </is>
      </c>
      <c r="F4" s="3" t="inlineStr">
        <is>
          <t>LÍMITES DEL INVENTARIO</t>
        </is>
      </c>
    </row>
    <row r="5" ht="22" customHeight="1">
      <c r="A5" s="4" t="inlineStr">
        <is>
          <t>Razón Social / Nombre del Establecimiento</t>
        </is>
      </c>
      <c r="B5" s="5" t="n"/>
      <c r="C5" s="6" t="n"/>
      <c r="D5" s="6" t="n"/>
      <c r="E5" s="6" t="n"/>
      <c r="F5" s="7" t="inlineStr">
        <is>
          <t>Enfoque organizacional</t>
        </is>
      </c>
      <c r="G5" s="8" t="inlineStr">
        <is>
          <t>Control Operacional</t>
        </is>
      </c>
      <c r="H5" s="9" t="n"/>
      <c r="I5" s="9" t="n"/>
    </row>
    <row r="6" ht="22" customHeight="1">
      <c r="A6" s="4" t="inlineStr">
        <is>
          <t>CUIT / RUT</t>
        </is>
      </c>
      <c r="B6" s="5" t="n"/>
      <c r="C6" s="6" t="n"/>
      <c r="D6" s="6" t="n"/>
      <c r="E6" s="6" t="n"/>
      <c r="F6" s="7" t="inlineStr">
        <is>
          <t>Alcance cubierto</t>
        </is>
      </c>
      <c r="G6" s="8" t="inlineStr">
        <is>
          <t>Scope 1 + Scope 2</t>
        </is>
      </c>
      <c r="H6" s="9" t="n"/>
      <c r="I6" s="9" t="n"/>
    </row>
    <row r="7" ht="22" customHeight="1">
      <c r="A7" s="4" t="inlineStr">
        <is>
          <t>Provincia / Departamento</t>
        </is>
      </c>
      <c r="B7" s="5" t="n"/>
      <c r="C7" s="6" t="n"/>
      <c r="D7" s="6" t="n"/>
      <c r="E7" s="6" t="n"/>
      <c r="F7" s="7" t="inlineStr">
        <is>
          <t>¿Incluye sumideros?</t>
        </is>
      </c>
      <c r="G7" s="8" t="inlineStr">
        <is>
          <t>Sí</t>
        </is>
      </c>
      <c r="H7" s="9" t="n"/>
      <c r="I7" s="9" t="n"/>
    </row>
    <row r="8" ht="22" customHeight="1">
      <c r="A8" s="4" t="inlineStr">
        <is>
          <t>Dirección del establecimiento</t>
        </is>
      </c>
      <c r="B8" s="5" t="n"/>
      <c r="C8" s="6" t="n"/>
      <c r="D8" s="6" t="n"/>
      <c r="E8" s="6" t="n"/>
      <c r="F8" s="7" t="inlineStr">
        <is>
          <t>FE maquinaria/combustión</t>
        </is>
      </c>
      <c r="G8" s="8" t="inlineStr">
        <is>
          <t>IPCC 2006 / GHG Protocol</t>
        </is>
      </c>
      <c r="H8" s="9" t="n"/>
      <c r="I8" s="9" t="n"/>
    </row>
    <row r="9" ht="22" customHeight="1">
      <c r="A9" s="4" t="inlineStr">
        <is>
          <t>Superficie total declarada (ha)</t>
        </is>
      </c>
      <c r="B9" s="5" t="inlineStr">
        <is>
          <t>1.000</t>
        </is>
      </c>
      <c r="C9" s="6" t="n"/>
      <c r="D9" s="6" t="n"/>
      <c r="E9" s="6" t="n"/>
      <c r="F9" s="7" t="inlineStr">
        <is>
          <t>FE ganadería</t>
        </is>
      </c>
      <c r="G9" s="8" t="inlineStr">
        <is>
          <t>IPCC 2006 Tier 1/2</t>
        </is>
      </c>
      <c r="H9" s="9" t="n"/>
      <c r="I9" s="9" t="n"/>
    </row>
    <row r="10" ht="22" customHeight="1">
      <c r="A10" s="4" t="inlineStr">
        <is>
          <t>Superficie productiva (ha)</t>
        </is>
      </c>
      <c r="B10" s="5" t="inlineStr">
        <is>
          <t>900</t>
        </is>
      </c>
      <c r="C10" s="6" t="n"/>
      <c r="D10" s="6" t="n"/>
      <c r="E10" s="6" t="n"/>
      <c r="F10" s="7" t="inlineStr">
        <is>
          <t>FE electricidad</t>
        </is>
      </c>
      <c r="G10" s="8" t="inlineStr">
        <is>
          <t>Factor Red Argentina (CAMMESA)</t>
        </is>
      </c>
      <c r="H10" s="9" t="n"/>
      <c r="I10" s="9" t="n"/>
    </row>
    <row r="11" ht="22" customHeight="1">
      <c r="A11" s="4" t="inlineStr">
        <is>
          <t>Año del inventario</t>
        </is>
      </c>
      <c r="B11" s="5" t="n"/>
      <c r="C11" s="6" t="n"/>
      <c r="D11" s="6" t="n"/>
      <c r="E11" s="6" t="n"/>
      <c r="F11" s="7" t="inlineStr">
        <is>
          <t>Factor red eléctrica (kg CO2e/kWh)</t>
        </is>
      </c>
      <c r="G11" s="8" t="inlineStr">
        <is>
          <t>0,383</t>
        </is>
      </c>
      <c r="H11" s="9" t="n"/>
      <c r="I11" s="9" t="n"/>
    </row>
    <row r="12" ht="22" customHeight="1">
      <c r="A12" s="4" t="inlineStr">
        <is>
          <t>Año base del inventario</t>
        </is>
      </c>
      <c r="B12" s="5" t="n"/>
      <c r="C12" s="6" t="n"/>
      <c r="D12" s="6" t="n"/>
      <c r="E12" s="6" t="n"/>
      <c r="F12" s="7" t="inlineStr">
        <is>
          <t>PRG CH4 — 100 años (AR6)</t>
        </is>
      </c>
      <c r="G12" s="8" t="inlineStr">
        <is>
          <t>29,8</t>
        </is>
      </c>
      <c r="H12" s="9" t="n"/>
      <c r="I12" s="9" t="n"/>
    </row>
    <row r="13" ht="22" customHeight="1">
      <c r="A13" s="4" t="inlineStr">
        <is>
          <t>Responsable del inventario</t>
        </is>
      </c>
      <c r="B13" s="5" t="n"/>
      <c r="C13" s="6" t="n"/>
      <c r="D13" s="6" t="n"/>
      <c r="E13" s="6" t="n"/>
      <c r="F13" s="7" t="inlineStr">
        <is>
          <t>PRG N2O — 100 años (AR6)</t>
        </is>
      </c>
      <c r="G13" s="8" t="inlineStr">
        <is>
          <t>273</t>
        </is>
      </c>
      <c r="H13" s="9" t="n"/>
      <c r="I13" s="9" t="n"/>
    </row>
    <row r="14" ht="22" customHeight="1">
      <c r="A14" s="4" t="inlineStr">
        <is>
          <t>Cargo / Matrícula profesional</t>
        </is>
      </c>
      <c r="B14" s="5" t="n"/>
      <c r="C14" s="6" t="n"/>
      <c r="D14" s="6" t="n"/>
      <c r="E14" s="6" t="n"/>
      <c r="F14" s="7" t="inlineStr">
        <is>
          <t>Unidad de reporte</t>
        </is>
      </c>
      <c r="G14" s="8" t="inlineStr">
        <is>
          <t>tCO2e / año</t>
        </is>
      </c>
      <c r="H14" s="9" t="n"/>
      <c r="I14" s="9" t="n"/>
    </row>
    <row r="15" ht="22" customHeight="1">
      <c r="A15" s="4" t="inlineStr">
        <is>
          <t>Correo electrónico</t>
        </is>
      </c>
      <c r="B15" s="5" t="n"/>
      <c r="C15" s="6" t="n"/>
      <c r="D15" s="6" t="n"/>
      <c r="E15" s="6" t="n"/>
      <c r="F15" s="7" t="inlineStr">
        <is>
          <t>Versión del protocolo GHG</t>
        </is>
      </c>
      <c r="G15" s="8" t="inlineStr">
        <is>
          <t>Corporate Standard Rev. 2015</t>
        </is>
      </c>
      <c r="H15" s="9" t="n"/>
      <c r="I15" s="9" t="n"/>
    </row>
    <row r="16" ht="22" customHeight="1">
      <c r="A16" s="4" t="inlineStr">
        <is>
          <t>Teléfono de contacto</t>
        </is>
      </c>
      <c r="B16" s="5" t="n"/>
      <c r="C16" s="6" t="n"/>
      <c r="D16" s="6" t="n"/>
      <c r="E16" s="6" t="n"/>
      <c r="F16" s="7" t="inlineStr">
        <is>
          <t>Norma de referencia</t>
        </is>
      </c>
      <c r="G16" s="8" t="inlineStr">
        <is>
          <t>ISO 14064-1:2018</t>
        </is>
      </c>
      <c r="H16" s="9" t="n"/>
      <c r="I16" s="9" t="n"/>
    </row>
    <row r="17" ht="12" customHeight="1"/>
    <row r="18" ht="28" customHeight="1">
      <c r="A18" s="10" t="inlineStr">
        <is>
          <t>LEYENDA DE COLORES</t>
        </is>
      </c>
    </row>
    <row r="19" ht="22" customHeight="1">
      <c r="A19" s="11" t="inlineStr">
        <is>
          <t>Celda de INGRESO DE DATOS (completar)</t>
        </is>
      </c>
      <c r="C19" s="12" t="inlineStr">
        <is>
          <t>Celda CALCULADA automáticamente</t>
        </is>
      </c>
      <c r="E19" s="13" t="inlineStr">
        <is>
          <t>Factor de Emisión de referencia</t>
        </is>
      </c>
      <c r="G19" s="14" t="inlineStr">
        <is>
          <t>Encabezado / Categoría</t>
        </is>
      </c>
    </row>
    <row r="20" ht="22" customHeight="1"/>
    <row r="21" ht="22" customHeight="1">
      <c r="A21" s="3" t="inlineStr">
        <is>
          <t>FUENTES DE EMISIÓN Y SUMIDEROS DECLARADOS</t>
        </is>
      </c>
    </row>
    <row r="22" ht="22" customHeight="1">
      <c r="A22" s="15" t="inlineStr">
        <is>
          <t>Código</t>
        </is>
      </c>
      <c r="B22" s="15" t="inlineStr">
        <is>
          <t>Fuente / Sumidero</t>
        </is>
      </c>
      <c r="E22" s="15" t="inlineStr">
        <is>
          <t>Descripción</t>
        </is>
      </c>
    </row>
    <row r="23" ht="20" customHeight="1">
      <c r="A23" s="16" t="inlineStr">
        <is>
          <t>S1-1</t>
        </is>
      </c>
      <c r="B23" s="17" t="inlineStr">
        <is>
          <t>Combustión Móvil</t>
        </is>
      </c>
      <c r="C23" s="18" t="n"/>
      <c r="D23" s="18" t="n"/>
      <c r="E23" s="18" t="n"/>
      <c r="F23" s="18" t="n"/>
      <c r="G23" s="18" t="n"/>
      <c r="H23" s="18" t="n"/>
      <c r="I23" s="19" t="n"/>
    </row>
    <row r="24" ht="20" customHeight="1">
      <c r="A24" s="16" t="inlineStr">
        <is>
          <t>S1-2</t>
        </is>
      </c>
      <c r="B24" s="17" t="inlineStr">
        <is>
          <t>Combustión Estacionaria</t>
        </is>
      </c>
      <c r="C24" s="18" t="n"/>
      <c r="D24" s="18" t="n"/>
      <c r="E24" s="18" t="n"/>
      <c r="F24" s="18" t="n"/>
      <c r="G24" s="18" t="n"/>
      <c r="H24" s="18" t="n"/>
      <c r="I24" s="19" t="n"/>
    </row>
    <row r="25" ht="20" customHeight="1">
      <c r="A25" s="16" t="inlineStr">
        <is>
          <t>S1-3</t>
        </is>
      </c>
      <c r="B25" s="17" t="inlineStr">
        <is>
          <t>Fermentación Entérica</t>
        </is>
      </c>
      <c r="C25" s="18" t="n"/>
      <c r="D25" s="18" t="n"/>
      <c r="E25" s="18" t="n"/>
      <c r="F25" s="18" t="n"/>
      <c r="G25" s="18" t="n"/>
      <c r="H25" s="18" t="n"/>
      <c r="I25" s="19" t="n"/>
    </row>
    <row r="26" ht="20" customHeight="1">
      <c r="A26" s="16" t="inlineStr">
        <is>
          <t>S1-4</t>
        </is>
      </c>
      <c r="B26" s="17" t="inlineStr">
        <is>
          <t>Gestión de Estiércol</t>
        </is>
      </c>
      <c r="C26" s="18" t="n"/>
      <c r="D26" s="18" t="n"/>
      <c r="E26" s="18" t="n"/>
      <c r="F26" s="18" t="n"/>
      <c r="G26" s="18" t="n"/>
      <c r="H26" s="18" t="n"/>
      <c r="I26" s="19" t="n"/>
    </row>
    <row r="27" ht="20" customHeight="1">
      <c r="A27" s="16" t="inlineStr">
        <is>
          <t>S1-5</t>
        </is>
      </c>
      <c r="B27" s="17" t="inlineStr">
        <is>
          <t>Suelos Agrícolas</t>
        </is>
      </c>
      <c r="C27" s="18" t="n"/>
      <c r="D27" s="18" t="n"/>
      <c r="E27" s="18" t="n"/>
      <c r="F27" s="18" t="n"/>
      <c r="G27" s="18" t="n"/>
      <c r="H27" s="18" t="n"/>
      <c r="I27" s="19" t="n"/>
    </row>
    <row r="28" ht="20" customHeight="1">
      <c r="A28" s="16" t="inlineStr">
        <is>
          <t>S1-6</t>
        </is>
      </c>
      <c r="B28" s="17" t="inlineStr">
        <is>
          <t>Efluentes</t>
        </is>
      </c>
      <c r="C28" s="18" t="n"/>
      <c r="D28" s="18" t="n"/>
      <c r="E28" s="18" t="n"/>
      <c r="F28" s="18" t="n"/>
      <c r="G28" s="18" t="n"/>
      <c r="H28" s="18" t="n"/>
      <c r="I28" s="19" t="n"/>
    </row>
    <row r="29" ht="20" customHeight="1">
      <c r="A29" s="20" t="inlineStr">
        <is>
          <t>S2-1</t>
        </is>
      </c>
      <c r="B29" s="7" t="inlineStr">
        <is>
          <t>Electricidad de Red</t>
        </is>
      </c>
      <c r="C29" s="18" t="n"/>
      <c r="D29" s="18" t="n"/>
      <c r="E29" s="18" t="n"/>
      <c r="F29" s="18" t="n"/>
      <c r="G29" s="18" t="n"/>
      <c r="H29" s="18" t="n"/>
      <c r="I29" s="19" t="n"/>
    </row>
    <row r="30" ht="20" customHeight="1">
      <c r="A30" s="21" t="inlineStr">
        <is>
          <t>SK-1</t>
        </is>
      </c>
      <c r="B30" s="22" t="inlineStr">
        <is>
          <t>Sumideros</t>
        </is>
      </c>
      <c r="C30" s="18" t="n"/>
      <c r="D30" s="18" t="n"/>
      <c r="E30" s="18" t="n"/>
      <c r="F30" s="18" t="n"/>
      <c r="G30" s="18" t="n"/>
      <c r="H30" s="18" t="n"/>
      <c r="I30" s="19" t="n"/>
    </row>
  </sheetData>
  <mergeCells count="42">
    <mergeCell ref="B9:E9"/>
    <mergeCell ref="G10:I10"/>
    <mergeCell ref="G6:I6"/>
    <mergeCell ref="G13:I13"/>
    <mergeCell ref="B25:I25"/>
    <mergeCell ref="B6:E6"/>
    <mergeCell ref="B15:E15"/>
    <mergeCell ref="A18:I18"/>
    <mergeCell ref="B5:E5"/>
    <mergeCell ref="B27:I27"/>
    <mergeCell ref="G15:I15"/>
    <mergeCell ref="A21:I21"/>
    <mergeCell ref="A2:I2"/>
    <mergeCell ref="G14:I14"/>
    <mergeCell ref="G5:I5"/>
    <mergeCell ref="F4:I4"/>
    <mergeCell ref="E19:F19"/>
    <mergeCell ref="B16:E16"/>
    <mergeCell ref="G19:H19"/>
    <mergeCell ref="B7:E7"/>
    <mergeCell ref="B23:I23"/>
    <mergeCell ref="G16:I16"/>
    <mergeCell ref="B29:I29"/>
    <mergeCell ref="B12:E12"/>
    <mergeCell ref="B28:I28"/>
    <mergeCell ref="G9:I9"/>
    <mergeCell ref="B11:E11"/>
    <mergeCell ref="G12:I12"/>
    <mergeCell ref="B14:E14"/>
    <mergeCell ref="G11:I11"/>
    <mergeCell ref="A4:E4"/>
    <mergeCell ref="B8:E8"/>
    <mergeCell ref="B30:I30"/>
    <mergeCell ref="B13:E13"/>
    <mergeCell ref="A19:B19"/>
    <mergeCell ref="B24:I24"/>
    <mergeCell ref="C19:D19"/>
    <mergeCell ref="A1:I1"/>
    <mergeCell ref="G8:I8"/>
    <mergeCell ref="B10:E10"/>
    <mergeCell ref="G7:I7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O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7" customWidth="1" min="4" max="4"/>
    <col width="8" customWidth="1" min="5" max="5"/>
    <col width="11" customWidth="1" min="6" max="6"/>
    <col width="11" customWidth="1" min="7" max="7"/>
    <col width="11" customWidth="1" min="8" max="8"/>
    <col width="8" customWidth="1" min="9" max="9"/>
    <col width="7" customWidth="1" min="10" max="10"/>
    <col width="7" customWidth="1" min="11" max="11"/>
    <col width="11" customWidth="1" min="12" max="12"/>
    <col width="13" customWidth="1" min="13" max="13"/>
    <col width="13" customWidth="1" min="14" max="14"/>
    <col width="11" customWidth="1" min="15" max="15"/>
  </cols>
  <sheetData>
    <row r="1">
      <c r="A1" s="23" t="inlineStr">
        <is>
          <t>SCOPE 1 — COMBUSTIÓN MÓVIL  |  Tractores, Cosechadoras y Camiones</t>
        </is>
      </c>
    </row>
    <row r="2">
      <c r="A2" s="24" t="inlineStr">
        <is>
          <t>GHG Protocol — Mobile Combustion  |  IPCC 2006 Vol.2 Cap.3  |  FE gasoil: 2,7 kg CO2/L  |  CH4: 0,1 g/MJ  |  N2O: 0,6 g/MJ</t>
        </is>
      </c>
    </row>
    <row r="4">
      <c r="A4" s="25" t="inlineStr">
        <is>
          <t>N°</t>
        </is>
      </c>
      <c r="B4" s="25" t="inlineStr">
        <is>
          <t>Tipo de Máquina</t>
        </is>
      </c>
      <c r="C4" s="25" t="inlineStr">
        <is>
          <t>Marca / Modelo</t>
        </is>
      </c>
      <c r="D4" s="25" t="inlineStr">
        <is>
          <t>Año
Fabric.</t>
        </is>
      </c>
      <c r="E4" s="25" t="inlineStr">
        <is>
          <t>Uso
Anual
(meses/año)</t>
        </is>
      </c>
      <c r="F4" s="25" t="inlineStr">
        <is>
          <t>Horas de
Uso / mes
[INGRESAR]</t>
        </is>
      </c>
      <c r="G4" s="25" t="inlineStr">
        <is>
          <t>Consumo
promedio
(L/hora)
[INGRESAR]</t>
        </is>
      </c>
      <c r="H4" s="25" t="inlineStr">
        <is>
          <t>Consumo
Total
Anual (L)
[CALC]</t>
        </is>
      </c>
      <c r="I4" s="25" t="inlineStr">
        <is>
          <t>FE CO2
(kg CO2/L)</t>
        </is>
      </c>
      <c r="J4" s="25" t="inlineStr">
        <is>
          <t>FE CH4
(g/L)</t>
        </is>
      </c>
      <c r="K4" s="25" t="inlineStr">
        <is>
          <t>FE N2O
(g/L)</t>
        </is>
      </c>
      <c r="L4" s="25" t="inlineStr">
        <is>
          <t>CO2
(kg/año)</t>
        </is>
      </c>
      <c r="M4" s="25" t="inlineStr">
        <is>
          <t>CH4
(kg CO2e/año)</t>
        </is>
      </c>
      <c r="N4" s="25" t="inlineStr">
        <is>
          <t>N2O
(kg CO2e/año)</t>
        </is>
      </c>
      <c r="O4" s="25" t="inlineStr">
        <is>
          <t>TOTAL
tCO2e/año</t>
        </is>
      </c>
    </row>
    <row r="5" ht="20" customHeight="1">
      <c r="A5" s="26" t="inlineStr">
        <is>
          <t>1</t>
        </is>
      </c>
      <c r="B5" s="27" t="inlineStr">
        <is>
          <t>Tractor</t>
        </is>
      </c>
      <c r="C5" s="5" t="n"/>
      <c r="D5" s="5" t="n"/>
      <c r="E5" s="5" t="inlineStr">
        <is>
          <t>12</t>
        </is>
      </c>
      <c r="F5" s="5" t="n"/>
      <c r="G5" s="5" t="n"/>
      <c r="H5" s="28">
        <f>F5*E5*G5</f>
        <v/>
      </c>
      <c r="I5" s="8" t="n">
        <v>2.701</v>
      </c>
      <c r="J5" s="8" t="n">
        <v>0.1</v>
      </c>
      <c r="K5" s="8" t="n">
        <v>0.6</v>
      </c>
      <c r="L5" s="28">
        <f>H5*I5</f>
        <v/>
      </c>
      <c r="M5" s="28">
        <f>H5*J5/1000*29.8</f>
        <v/>
      </c>
      <c r="N5" s="28">
        <f>H5*K5/1000*273</f>
        <v/>
      </c>
      <c r="O5" s="28">
        <f>(L5+M5+N5)/1000</f>
        <v/>
      </c>
    </row>
    <row r="6" ht="20" customHeight="1">
      <c r="A6" s="29" t="inlineStr">
        <is>
          <t>2</t>
        </is>
      </c>
      <c r="B6" s="30" t="inlineStr">
        <is>
          <t>Tractor</t>
        </is>
      </c>
      <c r="C6" s="5" t="n"/>
      <c r="D6" s="5" t="n"/>
      <c r="E6" s="5" t="inlineStr">
        <is>
          <t>12</t>
        </is>
      </c>
      <c r="F6" s="5" t="n"/>
      <c r="G6" s="5" t="n"/>
      <c r="H6" s="28">
        <f>F6*E6*G6</f>
        <v/>
      </c>
      <c r="I6" s="8" t="n">
        <v>2.701</v>
      </c>
      <c r="J6" s="8" t="n">
        <v>0.1</v>
      </c>
      <c r="K6" s="8" t="n">
        <v>0.6</v>
      </c>
      <c r="L6" s="28">
        <f>H6*I6</f>
        <v/>
      </c>
      <c r="M6" s="28">
        <f>H6*J6/1000*29.8</f>
        <v/>
      </c>
      <c r="N6" s="28">
        <f>H6*K6/1000*273</f>
        <v/>
      </c>
      <c r="O6" s="28">
        <f>(L6+M6+N6)/1000</f>
        <v/>
      </c>
    </row>
    <row r="7" ht="20" customHeight="1">
      <c r="A7" s="26" t="inlineStr">
        <is>
          <t>3</t>
        </is>
      </c>
      <c r="B7" s="27" t="inlineStr">
        <is>
          <t>Cosechadora</t>
        </is>
      </c>
      <c r="C7" s="5" t="n"/>
      <c r="D7" s="5" t="n"/>
      <c r="E7" s="5" t="inlineStr">
        <is>
          <t>3</t>
        </is>
      </c>
      <c r="F7" s="5" t="n"/>
      <c r="G7" s="5" t="n"/>
      <c r="H7" s="28">
        <f>F7*E7*G7</f>
        <v/>
      </c>
      <c r="I7" s="8" t="n">
        <v>2.701</v>
      </c>
      <c r="J7" s="8" t="n">
        <v>0.1</v>
      </c>
      <c r="K7" s="8" t="n">
        <v>0.6</v>
      </c>
      <c r="L7" s="28">
        <f>H7*I7</f>
        <v/>
      </c>
      <c r="M7" s="28">
        <f>H7*J7/1000*29.8</f>
        <v/>
      </c>
      <c r="N7" s="28">
        <f>H7*K7/1000*273</f>
        <v/>
      </c>
      <c r="O7" s="28">
        <f>(L7+M7+N7)/1000</f>
        <v/>
      </c>
    </row>
    <row r="8" ht="20" customHeight="1">
      <c r="A8" s="29" t="inlineStr">
        <is>
          <t>4</t>
        </is>
      </c>
      <c r="B8" s="30" t="inlineStr">
        <is>
          <t>Cosechadora</t>
        </is>
      </c>
      <c r="C8" s="5" t="n"/>
      <c r="D8" s="5" t="n"/>
      <c r="E8" s="5" t="inlineStr">
        <is>
          <t>3</t>
        </is>
      </c>
      <c r="F8" s="5" t="n"/>
      <c r="G8" s="5" t="n"/>
      <c r="H8" s="28">
        <f>F8*E8*G8</f>
        <v/>
      </c>
      <c r="I8" s="8" t="n">
        <v>2.701</v>
      </c>
      <c r="J8" s="8" t="n">
        <v>0.1</v>
      </c>
      <c r="K8" s="8" t="n">
        <v>0.6</v>
      </c>
      <c r="L8" s="28">
        <f>H8*I8</f>
        <v/>
      </c>
      <c r="M8" s="28">
        <f>H8*J8/1000*29.8</f>
        <v/>
      </c>
      <c r="N8" s="28">
        <f>H8*K8/1000*273</f>
        <v/>
      </c>
      <c r="O8" s="28">
        <f>(L8+M8+N8)/1000</f>
        <v/>
      </c>
    </row>
    <row r="9" ht="20" customHeight="1">
      <c r="A9" s="26" t="inlineStr">
        <is>
          <t>5</t>
        </is>
      </c>
      <c r="B9" s="27" t="inlineStr">
        <is>
          <t>Cosechadora</t>
        </is>
      </c>
      <c r="C9" s="5" t="n"/>
      <c r="D9" s="5" t="n"/>
      <c r="E9" s="5" t="inlineStr">
        <is>
          <t>3</t>
        </is>
      </c>
      <c r="F9" s="5" t="n"/>
      <c r="G9" s="5" t="n"/>
      <c r="H9" s="28">
        <f>F9*E9*G9</f>
        <v/>
      </c>
      <c r="I9" s="8" t="n">
        <v>2.701</v>
      </c>
      <c r="J9" s="8" t="n">
        <v>0.1</v>
      </c>
      <c r="K9" s="8" t="n">
        <v>0.6</v>
      </c>
      <c r="L9" s="28">
        <f>H9*I9</f>
        <v/>
      </c>
      <c r="M9" s="28">
        <f>H9*J9/1000*29.8</f>
        <v/>
      </c>
      <c r="N9" s="28">
        <f>H9*K9/1000*273</f>
        <v/>
      </c>
      <c r="O9" s="28">
        <f>(L9+M9+N9)/1000</f>
        <v/>
      </c>
    </row>
    <row r="10" ht="20" customHeight="1">
      <c r="A10" s="29" t="inlineStr">
        <is>
          <t>6</t>
        </is>
      </c>
      <c r="B10" s="30" t="inlineStr">
        <is>
          <t>Cosechadora</t>
        </is>
      </c>
      <c r="C10" s="5" t="n"/>
      <c r="D10" s="5" t="n"/>
      <c r="E10" s="5" t="inlineStr">
        <is>
          <t>3</t>
        </is>
      </c>
      <c r="F10" s="5" t="n"/>
      <c r="G10" s="5" t="n"/>
      <c r="H10" s="28">
        <f>F10*E10*G10</f>
        <v/>
      </c>
      <c r="I10" s="8" t="n">
        <v>2.701</v>
      </c>
      <c r="J10" s="8" t="n">
        <v>0.1</v>
      </c>
      <c r="K10" s="8" t="n">
        <v>0.6</v>
      </c>
      <c r="L10" s="28">
        <f>H10*I10</f>
        <v/>
      </c>
      <c r="M10" s="28">
        <f>H10*J10/1000*29.8</f>
        <v/>
      </c>
      <c r="N10" s="28">
        <f>H10*K10/1000*273</f>
        <v/>
      </c>
      <c r="O10" s="28">
        <f>(L10+M10+N10)/1000</f>
        <v/>
      </c>
    </row>
    <row r="11" ht="20" customHeight="1">
      <c r="A11" s="26" t="inlineStr">
        <is>
          <t>7</t>
        </is>
      </c>
      <c r="B11" s="27" t="inlineStr">
        <is>
          <t>Cosechadora</t>
        </is>
      </c>
      <c r="C11" s="5" t="n"/>
      <c r="D11" s="5" t="n"/>
      <c r="E11" s="5" t="inlineStr">
        <is>
          <t>3</t>
        </is>
      </c>
      <c r="F11" s="5" t="n"/>
      <c r="G11" s="5" t="n"/>
      <c r="H11" s="28">
        <f>F11*E11*G11</f>
        <v/>
      </c>
      <c r="I11" s="8" t="n">
        <v>2.701</v>
      </c>
      <c r="J11" s="8" t="n">
        <v>0.1</v>
      </c>
      <c r="K11" s="8" t="n">
        <v>0.6</v>
      </c>
      <c r="L11" s="28">
        <f>H11*I11</f>
        <v/>
      </c>
      <c r="M11" s="28">
        <f>H11*J11/1000*29.8</f>
        <v/>
      </c>
      <c r="N11" s="28">
        <f>H11*K11/1000*273</f>
        <v/>
      </c>
      <c r="O11" s="28">
        <f>(L11+M11+N11)/1000</f>
        <v/>
      </c>
    </row>
    <row r="12" ht="20" customHeight="1">
      <c r="A12" s="29" t="inlineStr">
        <is>
          <t>8</t>
        </is>
      </c>
      <c r="B12" s="30" t="inlineStr">
        <is>
          <t>Camión</t>
        </is>
      </c>
      <c r="C12" s="5" t="n"/>
      <c r="D12" s="5" t="n"/>
      <c r="E12" s="5" t="inlineStr">
        <is>
          <t>12</t>
        </is>
      </c>
      <c r="F12" s="5" t="n"/>
      <c r="G12" s="5" t="n"/>
      <c r="H12" s="28">
        <f>F12*E12*G12</f>
        <v/>
      </c>
      <c r="I12" s="8" t="n">
        <v>2.701</v>
      </c>
      <c r="J12" s="8" t="n">
        <v>0.1</v>
      </c>
      <c r="K12" s="8" t="n">
        <v>0.6</v>
      </c>
      <c r="L12" s="28">
        <f>H12*I12</f>
        <v/>
      </c>
      <c r="M12" s="28">
        <f>H12*J12/1000*29.8</f>
        <v/>
      </c>
      <c r="N12" s="28">
        <f>H12*K12/1000*273</f>
        <v/>
      </c>
      <c r="O12" s="28">
        <f>(L12+M12+N12)/1000</f>
        <v/>
      </c>
    </row>
    <row r="13" ht="20" customHeight="1">
      <c r="A13" s="26" t="inlineStr">
        <is>
          <t>9</t>
        </is>
      </c>
      <c r="B13" s="27" t="inlineStr">
        <is>
          <t>Camión</t>
        </is>
      </c>
      <c r="C13" s="5" t="n"/>
      <c r="D13" s="5" t="n"/>
      <c r="E13" s="5" t="inlineStr">
        <is>
          <t>12</t>
        </is>
      </c>
      <c r="F13" s="5" t="n"/>
      <c r="G13" s="5" t="n"/>
      <c r="H13" s="28">
        <f>F13*E13*G13</f>
        <v/>
      </c>
      <c r="I13" s="8" t="n">
        <v>2.701</v>
      </c>
      <c r="J13" s="8" t="n">
        <v>0.1</v>
      </c>
      <c r="K13" s="8" t="n">
        <v>0.6</v>
      </c>
      <c r="L13" s="28">
        <f>H13*I13</f>
        <v/>
      </c>
      <c r="M13" s="28">
        <f>H13*J13/1000*29.8</f>
        <v/>
      </c>
      <c r="N13" s="28">
        <f>H13*K13/1000*273</f>
        <v/>
      </c>
      <c r="O13" s="28">
        <f>(L13+M13+N13)/1000</f>
        <v/>
      </c>
    </row>
    <row r="14" ht="22" customHeight="1">
      <c r="A14" s="10" t="inlineStr">
        <is>
          <t>TOTAL COMBUSTIÓN MÓVIL</t>
        </is>
      </c>
      <c r="L14" s="28">
        <f>SUM(L5:L13)</f>
        <v/>
      </c>
      <c r="M14" s="28">
        <f>SUM(M5:M13)</f>
        <v/>
      </c>
      <c r="N14" s="28">
        <f>SUM(N5:N13)</f>
        <v/>
      </c>
      <c r="O14" s="28">
        <f>SUM(O5:O13)</f>
        <v/>
      </c>
    </row>
    <row r="16">
      <c r="A16" s="31" t="inlineStr">
        <is>
          <t>NOTA: Para camiones con datos en km/año en lugar de horas, usar consumo en L/km y reemplazar columnas E y F por km/mes y L/km. FE gasoil = 2,701 kg CO2/L (IPCC 2006 Tabla 1.4). Si se usa biodiesel B5/B10, ajustar FE. Fuente de datos sugerida: planilla de control de combustible, remitos de surtidor o estimación por horas de horómetro.</t>
        </is>
      </c>
    </row>
  </sheetData>
  <mergeCells count="4">
    <mergeCell ref="A14:K14"/>
    <mergeCell ref="A2:N2"/>
    <mergeCell ref="A16:O16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L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0" customWidth="1" min="8" max="8"/>
    <col width="10" customWidth="1" min="9" max="9"/>
    <col width="11" customWidth="1" min="10" max="10"/>
    <col width="11" customWidth="1" min="11" max="11"/>
    <col width="11" customWidth="1" min="12" max="12"/>
  </cols>
  <sheetData>
    <row r="1">
      <c r="A1" s="23" t="inlineStr">
        <is>
          <t>SCOPE 1 — COMBUSTIÓN ESTACIONARIA  |  Generadores a Gasoil + Zeppelin GLP</t>
        </is>
      </c>
    </row>
    <row r="2">
      <c r="A2" s="24" t="inlineStr">
        <is>
          <t>GHG Protocol — Stationary Combustion  |  IPCC 2006 Vol.2 Cap.2  |  FE gasoil estacionario: 2,701 kg CO2/L  |  FE GLP: 2,983 kg CO2/kg</t>
        </is>
      </c>
    </row>
    <row r="3">
      <c r="A3" s="32" t="inlineStr">
        <is>
          <t>SECCIÓN A — GENERADORES ELÉCTRICOS (Autogeneración a gasoil)</t>
        </is>
      </c>
    </row>
    <row r="4">
      <c r="A4" s="25" t="inlineStr">
        <is>
          <t>N°</t>
        </is>
      </c>
      <c r="B4" s="25" t="inlineStr">
        <is>
          <t>Descripción / Ubicación</t>
        </is>
      </c>
      <c r="C4" s="25" t="inlineStr">
        <is>
          <t>Potencia
(kW)</t>
        </is>
      </c>
      <c r="D4" s="25" t="inlineStr">
        <is>
          <t>Meses
Oper.
/año</t>
        </is>
      </c>
      <c r="E4" s="25" t="inlineStr">
        <is>
          <t>Horas
Funcion.
/mes
[INGRESAR]</t>
        </is>
      </c>
      <c r="F4" s="25" t="inlineStr">
        <is>
          <t>Consumo
promedio
(L/hora)
[INGRESAR]</t>
        </is>
      </c>
      <c r="G4" s="25" t="inlineStr">
        <is>
          <t>Consumo
Total
Anual (L)
[CALC]</t>
        </is>
      </c>
      <c r="H4" s="25" t="inlineStr">
        <is>
          <t>kWh
Generados
/año
[INGRESAR]</t>
        </is>
      </c>
      <c r="I4" s="25" t="inlineStr">
        <is>
          <t>FE CO2
(kg/L)</t>
        </is>
      </c>
      <c r="J4" s="25" t="inlineStr">
        <is>
          <t>CO2
(kg/año)</t>
        </is>
      </c>
      <c r="K4" s="25" t="inlineStr">
        <is>
          <t>CH4
(kg CO2e
/año)</t>
        </is>
      </c>
      <c r="L4" s="25" t="inlineStr">
        <is>
          <t>TOTAL
tCO2e/año</t>
        </is>
      </c>
    </row>
    <row r="5" ht="20" customHeight="1">
      <c r="A5" s="26" t="inlineStr">
        <is>
          <t>1</t>
        </is>
      </c>
      <c r="B5" s="27" t="inlineStr">
        <is>
          <t>Generador principal</t>
        </is>
      </c>
      <c r="C5" s="5" t="n"/>
      <c r="D5" s="5" t="inlineStr">
        <is>
          <t>12</t>
        </is>
      </c>
      <c r="E5" s="5" t="n"/>
      <c r="F5" s="5" t="n"/>
      <c r="G5" s="28">
        <f>E5*D5*F5</f>
        <v/>
      </c>
      <c r="H5" s="5" t="n"/>
      <c r="I5" s="8" t="n">
        <v>2.701</v>
      </c>
      <c r="J5" s="28">
        <f>G5*I5</f>
        <v/>
      </c>
      <c r="K5" s="28">
        <f>G5*0.0001*29.8</f>
        <v/>
      </c>
      <c r="L5" s="28">
        <f>(J5+K5)/1000</f>
        <v/>
      </c>
    </row>
    <row r="6" ht="20" customHeight="1">
      <c r="A6" s="29" t="inlineStr">
        <is>
          <t>2</t>
        </is>
      </c>
      <c r="B6" s="30" t="inlineStr">
        <is>
          <t>Generador respaldo</t>
        </is>
      </c>
      <c r="C6" s="5" t="n"/>
      <c r="D6" s="5" t="inlineStr">
        <is>
          <t>12</t>
        </is>
      </c>
      <c r="E6" s="5" t="n"/>
      <c r="F6" s="5" t="n"/>
      <c r="G6" s="28">
        <f>E6*D6*F6</f>
        <v/>
      </c>
      <c r="H6" s="5" t="n"/>
      <c r="I6" s="8" t="n">
        <v>2.701</v>
      </c>
      <c r="J6" s="28">
        <f>G6*I6</f>
        <v/>
      </c>
      <c r="K6" s="28">
        <f>G6*0.0001*29.8</f>
        <v/>
      </c>
      <c r="L6" s="28">
        <f>(J6+K6)/1000</f>
        <v/>
      </c>
    </row>
    <row r="7">
      <c r="A7" s="10" t="inlineStr">
        <is>
          <t>SUBTOTAL GENERADORES</t>
        </is>
      </c>
      <c r="J7" s="28">
        <f>SUM(J5:J6)</f>
        <v/>
      </c>
      <c r="K7" s="28">
        <f>SUM(K5:K6)</f>
        <v/>
      </c>
      <c r="L7" s="28">
        <f>SUM(L5:L6)</f>
        <v/>
      </c>
    </row>
    <row r="9">
      <c r="A9" s="32" t="inlineStr">
        <is>
          <t>SECCIÓN B — ZEPPELIN DE GAS LICUADO DE PETRÓLEO (GLP / Propano-Butano)</t>
        </is>
      </c>
    </row>
    <row r="10">
      <c r="A10" s="25" t="inlineStr">
        <is>
          <t>N°</t>
        </is>
      </c>
      <c r="B10" s="25" t="inlineStr">
        <is>
          <t>Descripción / Ubicación</t>
        </is>
      </c>
      <c r="C10" s="25" t="inlineStr">
        <is>
          <t>Capacidad
Zeppelin
(kg)</t>
        </is>
      </c>
      <c r="D10" s="25" t="inlineStr">
        <is>
          <t>Recargas
por año
[INGRESAR]</t>
        </is>
      </c>
      <c r="E10" s="25" t="inlineStr">
        <is>
          <t>kg GLP
por recarga
[INGRESAR]</t>
        </is>
      </c>
      <c r="F10" s="25" t="inlineStr">
        <is>
          <t>Consumo
Total
Anual (kg)
[CALC]</t>
        </is>
      </c>
      <c r="G10" s="25" t="inlineStr">
        <is>
          <t>Litros
equiv.
/año
[CALC]</t>
        </is>
      </c>
      <c r="H10" s="25" t="inlineStr">
        <is>
          <t>FE CO2
(kg CO2/kg
GLP)</t>
        </is>
      </c>
      <c r="I10" s="25" t="inlineStr">
        <is>
          <t>CO2
(kg/año)</t>
        </is>
      </c>
      <c r="J10" s="25" t="inlineStr">
        <is>
          <t>CH4
(kg CO2e
/año)</t>
        </is>
      </c>
      <c r="K10" s="25" t="inlineStr">
        <is>
          <t>N2O
(kg CO2e
/año)</t>
        </is>
      </c>
      <c r="L10" s="25" t="inlineStr">
        <is>
          <t>TOTAL
tCO2e/año</t>
        </is>
      </c>
    </row>
    <row r="11" ht="20" customHeight="1">
      <c r="A11" s="26" t="inlineStr">
        <is>
          <t>1</t>
        </is>
      </c>
      <c r="B11" s="33" t="inlineStr">
        <is>
          <t>Zeppelin GLP - instalaciones</t>
        </is>
      </c>
      <c r="C11" s="5" t="n"/>
      <c r="D11" s="5" t="n"/>
      <c r="E11" s="5" t="n"/>
      <c r="F11" s="28">
        <f>D11*E11</f>
        <v/>
      </c>
      <c r="G11" s="28">
        <f>F11/0.51</f>
        <v/>
      </c>
      <c r="H11" s="8" t="n">
        <v>2.983</v>
      </c>
      <c r="I11" s="28">
        <f>F11*H11</f>
        <v/>
      </c>
      <c r="J11" s="28">
        <f>F11*0.001*29.8</f>
        <v/>
      </c>
      <c r="K11" s="28">
        <f>F11*0.0001*273</f>
        <v/>
      </c>
      <c r="L11" s="28">
        <f>(I11+J11+K11)/1000</f>
        <v/>
      </c>
    </row>
    <row r="12">
      <c r="A12" s="10" t="inlineStr">
        <is>
          <t>SUBTOTAL ZEPPELIN GLP</t>
        </is>
      </c>
      <c r="I12" s="28">
        <f>I11</f>
        <v/>
      </c>
      <c r="J12" s="28">
        <f>J11</f>
        <v/>
      </c>
      <c r="K12" s="28">
        <f>K11</f>
        <v/>
      </c>
      <c r="L12" s="28">
        <f>L11</f>
        <v/>
      </c>
    </row>
    <row r="14">
      <c r="A14" s="10" t="inlineStr">
        <is>
          <t>TOTAL COMBUSTIÓN ESTACIONARIA (Generadores + Zeppelin)</t>
        </is>
      </c>
      <c r="J14" s="28">
        <f>J7+I12</f>
        <v/>
      </c>
      <c r="K14" s="28">
        <f>K7+J12</f>
        <v/>
      </c>
      <c r="L14" s="28">
        <f>L7+L12</f>
        <v/>
      </c>
    </row>
    <row r="16">
      <c r="A16" s="31" t="inlineStr">
        <is>
          <t>NOTA: FE GLP (propano comercial) = 2,983 kg CO2/kg (IPCC 2006). Para determinar el consumo real, registrar las remisiones/facturas de recarga del zeppelin. Si no se cuenta con datos previos, instalar un horómetro en generadores y registrar litros en cada carga de combustible desde el inicio del período de reporte.</t>
        </is>
      </c>
    </row>
  </sheetData>
  <mergeCells count="8">
    <mergeCell ref="A12:H12"/>
    <mergeCell ref="A7:I7"/>
    <mergeCell ref="A2:L2"/>
    <mergeCell ref="A16:L16"/>
    <mergeCell ref="A1:L1"/>
    <mergeCell ref="A14:I14"/>
    <mergeCell ref="A9:L9"/>
    <mergeCell ref="A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N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8" customWidth="1" min="14" max="14"/>
  </cols>
  <sheetData>
    <row r="1">
      <c r="A1" s="23" t="inlineStr">
        <is>
          <t>SCOPE 1 — GANADERÍA  |  Fermentación Entérica + Gestión de Estiércol</t>
        </is>
      </c>
    </row>
    <row r="2">
      <c r="A2" s="24" t="inlineStr">
        <is>
          <t>IPCC 2006 Vol.4 Cap.10/11  |  Tier 1 por defecto — upgradeble a Tier 2 con datos de peso y dieta  |  PRG CH4 = 29,8  |  PRG N2O = 273  (AR6, 100 años)</t>
        </is>
      </c>
    </row>
    <row r="3">
      <c r="A3" s="32" t="inlineStr">
        <is>
          <t>SECCIÓN A — FERMENTACIÓN ENTÉRICA (CH4 ruminal)</t>
        </is>
      </c>
    </row>
    <row r="5">
      <c r="A5" s="34" t="inlineStr">
        <is>
          <t>Categoría Animal</t>
        </is>
      </c>
      <c r="B5" s="34" t="inlineStr">
        <is>
          <t>Sistema
Productivo</t>
        </is>
      </c>
      <c r="C5" s="34" t="inlineStr">
        <is>
          <t>Cabezas
totales
[INGRESAR]</t>
        </is>
      </c>
      <c r="D5" s="34" t="inlineStr">
        <is>
          <t>Días en
estab.
/año
[INGRESAR]</t>
        </is>
      </c>
      <c r="E5" s="34" t="inlineStr">
        <is>
          <t>Cabezas
equiv.
(ajustado)
[CALC]</t>
        </is>
      </c>
      <c r="F5" s="34" t="inlineStr">
        <is>
          <t>Peso vivo
promedio
(kg)
[INGRESAR]</t>
        </is>
      </c>
      <c r="G5" s="34" t="inlineStr">
        <is>
          <t>FE CH4
Ferm.Ent.
(kg CH4
/cab/año)
[Tier 1]</t>
        </is>
      </c>
      <c r="H5" s="34" t="inlineStr">
        <is>
          <t>CH4
total
(kg/año)
[CALC]</t>
        </is>
      </c>
      <c r="I5" s="34" t="inlineStr">
        <is>
          <t>CH4
(kg CO2e
/año)
[CALC]</t>
        </is>
      </c>
      <c r="J5" s="34" t="inlineStr">
        <is>
          <t>Producción
anual
leche
o carne
[INGRESAR]</t>
        </is>
      </c>
      <c r="K5" s="34" t="inlineStr">
        <is>
          <t>Unidad</t>
        </is>
      </c>
      <c r="L5" s="34" t="inlineStr">
        <is>
          <t>Observaciones</t>
        </is>
      </c>
    </row>
    <row r="6" ht="22" customHeight="1">
      <c r="A6" s="35" t="inlineStr">
        <is>
          <t>Vacas en ordeñe (tambo)</t>
        </is>
      </c>
      <c r="B6" s="27" t="inlineStr">
        <is>
          <t>Tambo</t>
        </is>
      </c>
      <c r="C6" s="5" t="n"/>
      <c r="D6" s="5" t="inlineStr">
        <is>
          <t>365</t>
        </is>
      </c>
      <c r="E6" s="28">
        <f>C6*D6/365</f>
        <v/>
      </c>
      <c r="F6" s="5" t="n"/>
      <c r="G6" s="8" t="n">
        <v>119.8</v>
      </c>
      <c r="H6" s="28">
        <f>E6*G6</f>
        <v/>
      </c>
      <c r="I6" s="28">
        <f>H6*29.8</f>
        <v/>
      </c>
      <c r="J6" s="5" t="n"/>
      <c r="K6" s="27" t="inlineStr">
        <is>
          <t>L leche/día o kg carne/año</t>
        </is>
      </c>
      <c r="L6" s="5" t="n"/>
    </row>
    <row r="7" ht="22" customHeight="1">
      <c r="A7" s="36" t="inlineStr">
        <is>
          <t>Vaquillonas en ordeñe</t>
        </is>
      </c>
      <c r="B7" s="30" t="inlineStr">
        <is>
          <t>Tambo</t>
        </is>
      </c>
      <c r="C7" s="5" t="n"/>
      <c r="D7" s="5" t="inlineStr">
        <is>
          <t>365</t>
        </is>
      </c>
      <c r="E7" s="28">
        <f>C7*D7/365</f>
        <v/>
      </c>
      <c r="F7" s="5" t="n"/>
      <c r="G7" s="8" t="n">
        <v>100</v>
      </c>
      <c r="H7" s="28">
        <f>E7*G7</f>
        <v/>
      </c>
      <c r="I7" s="28">
        <f>H7*29.8</f>
        <v/>
      </c>
      <c r="J7" s="5" t="n"/>
      <c r="K7" s="30" t="inlineStr">
        <is>
          <t>L leche/día o kg carne/año</t>
        </is>
      </c>
      <c r="L7" s="5" t="n"/>
    </row>
    <row r="8" ht="22" customHeight="1">
      <c r="A8" s="35" t="inlineStr">
        <is>
          <t>Novillos feedlot</t>
        </is>
      </c>
      <c r="B8" s="27" t="inlineStr">
        <is>
          <t>Feedlot</t>
        </is>
      </c>
      <c r="C8" s="5" t="n"/>
      <c r="D8" s="5" t="n"/>
      <c r="E8" s="28">
        <f>C8*D8/365</f>
        <v/>
      </c>
      <c r="F8" s="5" t="n"/>
      <c r="G8" s="8" t="n">
        <v>56.5</v>
      </c>
      <c r="H8" s="28">
        <f>E8*G8</f>
        <v/>
      </c>
      <c r="I8" s="28">
        <f>H8*29.8</f>
        <v/>
      </c>
      <c r="J8" s="5" t="n"/>
      <c r="K8" s="27" t="inlineStr">
        <is>
          <t>L leche/día o kg carne/año</t>
        </is>
      </c>
      <c r="L8" s="5" t="n"/>
    </row>
    <row r="9" ht="22" customHeight="1">
      <c r="A9" s="36" t="inlineStr">
        <is>
          <t>Novillitos feedlot</t>
        </is>
      </c>
      <c r="B9" s="30" t="inlineStr">
        <is>
          <t>Feedlot</t>
        </is>
      </c>
      <c r="C9" s="5" t="n"/>
      <c r="D9" s="5" t="n"/>
      <c r="E9" s="28">
        <f>C9*D9/365</f>
        <v/>
      </c>
      <c r="F9" s="5" t="n"/>
      <c r="G9" s="8" t="n">
        <v>47.8</v>
      </c>
      <c r="H9" s="28">
        <f>E9*G9</f>
        <v/>
      </c>
      <c r="I9" s="28">
        <f>H9*29.8</f>
        <v/>
      </c>
      <c r="J9" s="5" t="n"/>
      <c r="K9" s="30" t="inlineStr">
        <is>
          <t>L leche/día o kg carne/año</t>
        </is>
      </c>
      <c r="L9" s="5" t="n"/>
    </row>
    <row r="10" ht="22" customHeight="1">
      <c r="A10" s="35" t="inlineStr">
        <is>
          <t>Vaquillonas de recría</t>
        </is>
      </c>
      <c r="B10" s="27" t="inlineStr">
        <is>
          <t>Cría/Recría</t>
        </is>
      </c>
      <c r="C10" s="5" t="n"/>
      <c r="D10" s="5" t="inlineStr">
        <is>
          <t>365</t>
        </is>
      </c>
      <c r="E10" s="28">
        <f>C10*D10/365</f>
        <v/>
      </c>
      <c r="F10" s="5" t="n"/>
      <c r="G10" s="8" t="n">
        <v>47.8</v>
      </c>
      <c r="H10" s="28">
        <f>E10*G10</f>
        <v/>
      </c>
      <c r="I10" s="28">
        <f>H10*29.8</f>
        <v/>
      </c>
      <c r="J10" s="5" t="n"/>
      <c r="K10" s="27" t="inlineStr">
        <is>
          <t>L leche/día o kg carne/año</t>
        </is>
      </c>
      <c r="L10" s="5" t="n"/>
    </row>
    <row r="11" ht="22" customHeight="1">
      <c r="A11" s="36" t="inlineStr">
        <is>
          <t>Terneros/as (dest.-12 meses)</t>
        </is>
      </c>
      <c r="B11" s="30" t="inlineStr">
        <is>
          <t>Cría</t>
        </is>
      </c>
      <c r="C11" s="5" t="n"/>
      <c r="D11" s="5" t="inlineStr">
        <is>
          <t>365</t>
        </is>
      </c>
      <c r="E11" s="28">
        <f>C11*D11/365</f>
        <v/>
      </c>
      <c r="F11" s="5" t="n"/>
      <c r="G11" s="8" t="n">
        <v>27</v>
      </c>
      <c r="H11" s="28">
        <f>E11*G11</f>
        <v/>
      </c>
      <c r="I11" s="28">
        <f>H11*29.8</f>
        <v/>
      </c>
      <c r="J11" s="5" t="n"/>
      <c r="K11" s="30" t="inlineStr">
        <is>
          <t>L leche/día o kg carne/año</t>
        </is>
      </c>
      <c r="L11" s="5" t="n"/>
    </row>
    <row r="12" ht="22" customHeight="1">
      <c r="A12" s="35" t="inlineStr">
        <is>
          <t>Toros</t>
        </is>
      </c>
      <c r="B12" s="27" t="inlineStr">
        <is>
          <t>Cría/Tambo</t>
        </is>
      </c>
      <c r="C12" s="5" t="n"/>
      <c r="D12" s="5" t="inlineStr">
        <is>
          <t>365</t>
        </is>
      </c>
      <c r="E12" s="28">
        <f>C12*D12/365</f>
        <v/>
      </c>
      <c r="F12" s="5" t="n"/>
      <c r="G12" s="8" t="n">
        <v>73</v>
      </c>
      <c r="H12" s="28">
        <f>E12*G12</f>
        <v/>
      </c>
      <c r="I12" s="28">
        <f>H12*29.8</f>
        <v/>
      </c>
      <c r="J12" s="5" t="n"/>
      <c r="K12" s="27" t="inlineStr">
        <is>
          <t>L leche/día o kg carne/año</t>
        </is>
      </c>
      <c r="L12" s="5" t="n"/>
    </row>
    <row r="13" ht="22" customHeight="1">
      <c r="A13" s="36" t="inlineStr">
        <is>
          <t>Ovinos / Caprinos</t>
        </is>
      </c>
      <c r="B13" s="30" t="inlineStr">
        <is>
          <t>Extensivo</t>
        </is>
      </c>
      <c r="C13" s="5" t="n"/>
      <c r="D13" s="5" t="inlineStr">
        <is>
          <t>365</t>
        </is>
      </c>
      <c r="E13" s="28">
        <f>C13*D13/365</f>
        <v/>
      </c>
      <c r="F13" s="5" t="n"/>
      <c r="G13" s="8" t="n">
        <v>8</v>
      </c>
      <c r="H13" s="28">
        <f>E13*G13</f>
        <v/>
      </c>
      <c r="I13" s="28">
        <f>H13*29.8</f>
        <v/>
      </c>
      <c r="J13" s="5" t="n"/>
      <c r="K13" s="30" t="inlineStr">
        <is>
          <t>L leche/día o kg carne/año</t>
        </is>
      </c>
      <c r="L13" s="5" t="n"/>
    </row>
    <row r="14" ht="22" customHeight="1">
      <c r="A14" s="35" t="inlineStr">
        <is>
          <t>Cerdos (si aplica)</t>
        </is>
      </c>
      <c r="B14" s="27" t="inlineStr">
        <is>
          <t>Confinado</t>
        </is>
      </c>
      <c r="C14" s="5" t="n"/>
      <c r="D14" s="5" t="inlineStr">
        <is>
          <t>365</t>
        </is>
      </c>
      <c r="E14" s="28">
        <f>C14*D14/365</f>
        <v/>
      </c>
      <c r="F14" s="5" t="n"/>
      <c r="G14" s="8" t="n">
        <v>1.5</v>
      </c>
      <c r="H14" s="28">
        <f>E14*G14</f>
        <v/>
      </c>
      <c r="I14" s="28">
        <f>H14*29.8</f>
        <v/>
      </c>
      <c r="J14" s="5" t="n"/>
      <c r="K14" s="27" t="inlineStr">
        <is>
          <t>L leche/día o kg carne/año</t>
        </is>
      </c>
      <c r="L14" s="5" t="n"/>
    </row>
    <row r="15" ht="22" customHeight="1">
      <c r="A15" s="36" t="inlineStr">
        <is>
          <t>Aves (si aplica)</t>
        </is>
      </c>
      <c r="B15" s="30" t="inlineStr">
        <is>
          <t>Confinado</t>
        </is>
      </c>
      <c r="C15" s="5" t="n"/>
      <c r="D15" s="5" t="inlineStr">
        <is>
          <t>365</t>
        </is>
      </c>
      <c r="E15" s="28">
        <f>C15*D15/365</f>
        <v/>
      </c>
      <c r="F15" s="5" t="n"/>
      <c r="G15" s="8" t="n">
        <v>0.02</v>
      </c>
      <c r="H15" s="28">
        <f>E15*G15</f>
        <v/>
      </c>
      <c r="I15" s="28">
        <f>H15*29.8</f>
        <v/>
      </c>
      <c r="J15" s="5" t="n"/>
      <c r="K15" s="30" t="inlineStr">
        <is>
          <t>L leche/día o kg carne/año</t>
        </is>
      </c>
      <c r="L15" s="5" t="n"/>
    </row>
    <row r="16" ht="22" customHeight="1">
      <c r="A16" s="10" t="inlineStr">
        <is>
          <t>TOTAL FERMENTACIÓN ENTÉRICA</t>
        </is>
      </c>
      <c r="H16" s="28">
        <f>SUM(H6:H15)</f>
        <v/>
      </c>
      <c r="I16" s="28">
        <f>SUM(I6:I15)</f>
        <v/>
      </c>
    </row>
    <row r="18">
      <c r="A18" s="32" t="inlineStr">
        <is>
          <t>SECCIÓN B — GESTIÓN DE ESTIÉRCOL (CH4 + N2O)</t>
        </is>
      </c>
    </row>
    <row r="19">
      <c r="A19" s="34" t="inlineStr">
        <is>
          <t>Categoría Animal</t>
        </is>
      </c>
      <c r="B19" s="34" t="inlineStr">
        <is>
          <t>Sistema
Productivo</t>
        </is>
      </c>
      <c r="C19" s="34" t="inlineStr">
        <is>
          <t>Cabezas
[ref. Sec.A]
[INGRESAR]</t>
        </is>
      </c>
      <c r="D19" s="34" t="inlineStr">
        <is>
          <t>Sistema de
gestión
estiércol</t>
        </is>
      </c>
      <c r="E19" s="34" t="inlineStr">
        <is>
          <t>% estiércol
por sistema
[INGRESAR]</t>
        </is>
      </c>
      <c r="F19" s="34" t="inlineStr">
        <is>
          <t>Temp.
promedio
anual (°C)
[INGRESAR]</t>
        </is>
      </c>
      <c r="G19" s="34" t="inlineStr">
        <is>
          <t>FE CH4
estiércol
(kg CH4
/cab/año)</t>
        </is>
      </c>
      <c r="H19" s="34" t="inlineStr">
        <is>
          <t>FE N2O
estiércol
(kg N2O
/cab/año)</t>
        </is>
      </c>
      <c r="I19" s="34" t="inlineStr">
        <is>
          <t>CH4
(kg/año)
[CALC]</t>
        </is>
      </c>
      <c r="J19" s="34" t="inlineStr">
        <is>
          <t>N2O
(kg/año)
[CALC]</t>
        </is>
      </c>
      <c r="K19" s="34" t="inlineStr">
        <is>
          <t>CH4
(kg CO2e
/año)
[CALC]</t>
        </is>
      </c>
      <c r="L19" s="34" t="inlineStr">
        <is>
          <t>N2O
(kg CO2e
/año)
[CALC]</t>
        </is>
      </c>
      <c r="M19" s="34" t="inlineStr">
        <is>
          <t>TOTAL
tCO2e/año
[CALC]</t>
        </is>
      </c>
      <c r="N19" s="34" t="inlineStr">
        <is>
          <t>Observaciones</t>
        </is>
      </c>
    </row>
    <row r="20" ht="22" customHeight="1">
      <c r="A20" s="35" t="inlineStr">
        <is>
          <t>Vacas en ordeñe (tambo)</t>
        </is>
      </c>
      <c r="B20" s="27" t="inlineStr">
        <is>
          <t>Tambo</t>
        </is>
      </c>
      <c r="C20" s="5" t="n"/>
      <c r="D20" s="27" t="inlineStr">
        <is>
          <t>Laguna anaeróbica</t>
        </is>
      </c>
      <c r="E20" s="5" t="inlineStr">
        <is>
          <t>100%</t>
        </is>
      </c>
      <c r="F20" s="5" t="n"/>
      <c r="G20" s="8" t="n">
        <v>16</v>
      </c>
      <c r="H20" s="8" t="n">
        <v>0.1</v>
      </c>
      <c r="I20" s="28">
        <f>C20*G20</f>
        <v/>
      </c>
      <c r="J20" s="28">
        <f>C20*H20</f>
        <v/>
      </c>
      <c r="K20" s="28">
        <f>I20*29.8</f>
        <v/>
      </c>
      <c r="L20" s="28">
        <f>J20*273</f>
        <v/>
      </c>
      <c r="M20" s="28">
        <f>(K20+L20)/1000</f>
        <v/>
      </c>
      <c r="N20" s="5" t="n"/>
    </row>
    <row r="21" ht="22" customHeight="1">
      <c r="A21" s="36" t="inlineStr">
        <is>
          <t>Novillos feedlot</t>
        </is>
      </c>
      <c r="B21" s="30" t="inlineStr">
        <is>
          <t>Feedlot</t>
        </is>
      </c>
      <c r="C21" s="5" t="n"/>
      <c r="D21" s="30" t="inlineStr">
        <is>
          <t>Almac. sólido / corral</t>
        </is>
      </c>
      <c r="E21" s="5" t="inlineStr">
        <is>
          <t>100%</t>
        </is>
      </c>
      <c r="F21" s="5" t="n"/>
      <c r="G21" s="8" t="n">
        <v>1</v>
      </c>
      <c r="H21" s="8" t="n">
        <v>0.2</v>
      </c>
      <c r="I21" s="28">
        <f>C21*G21</f>
        <v/>
      </c>
      <c r="J21" s="28">
        <f>C21*H21</f>
        <v/>
      </c>
      <c r="K21" s="28">
        <f>I21*29.8</f>
        <v/>
      </c>
      <c r="L21" s="28">
        <f>J21*273</f>
        <v/>
      </c>
      <c r="M21" s="28">
        <f>(K21+L21)/1000</f>
        <v/>
      </c>
      <c r="N21" s="5" t="n"/>
    </row>
    <row r="22" ht="22" customHeight="1">
      <c r="A22" s="35" t="inlineStr">
        <is>
          <t>Novillitos feedlot</t>
        </is>
      </c>
      <c r="B22" s="27" t="inlineStr">
        <is>
          <t>Feedlot</t>
        </is>
      </c>
      <c r="C22" s="5" t="n"/>
      <c r="D22" s="27" t="inlineStr">
        <is>
          <t>Almac. sólido / corral</t>
        </is>
      </c>
      <c r="E22" s="5" t="inlineStr">
        <is>
          <t>100%</t>
        </is>
      </c>
      <c r="F22" s="5" t="n"/>
      <c r="G22" s="8" t="n">
        <v>1</v>
      </c>
      <c r="H22" s="8" t="n">
        <v>0.2</v>
      </c>
      <c r="I22" s="28">
        <f>C22*G22</f>
        <v/>
      </c>
      <c r="J22" s="28">
        <f>C22*H22</f>
        <v/>
      </c>
      <c r="K22" s="28">
        <f>I22*29.8</f>
        <v/>
      </c>
      <c r="L22" s="28">
        <f>J22*273</f>
        <v/>
      </c>
      <c r="M22" s="28">
        <f>(K22+L22)/1000</f>
        <v/>
      </c>
      <c r="N22" s="5" t="n"/>
    </row>
    <row r="23" ht="22" customHeight="1">
      <c r="A23" s="36" t="inlineStr">
        <is>
          <t>Resto del rodeo (extensivo)</t>
        </is>
      </c>
      <c r="B23" s="30" t="inlineStr">
        <is>
          <t>Extensivo/pastoreo</t>
        </is>
      </c>
      <c r="C23" s="5" t="n"/>
      <c r="D23" s="30" t="inlineStr">
        <is>
          <t>Pastoreo directo</t>
        </is>
      </c>
      <c r="E23" s="5" t="inlineStr">
        <is>
          <t>100%</t>
        </is>
      </c>
      <c r="F23" s="5" t="n"/>
      <c r="G23" s="8" t="n">
        <v>1</v>
      </c>
      <c r="H23" s="8" t="n">
        <v>0.07000000000000001</v>
      </c>
      <c r="I23" s="28">
        <f>C23*G23</f>
        <v/>
      </c>
      <c r="J23" s="28">
        <f>C23*H23</f>
        <v/>
      </c>
      <c r="K23" s="28">
        <f>I23*29.8</f>
        <v/>
      </c>
      <c r="L23" s="28">
        <f>J23*273</f>
        <v/>
      </c>
      <c r="M23" s="28">
        <f>(K23+L23)/1000</f>
        <v/>
      </c>
      <c r="N23" s="5" t="n"/>
    </row>
    <row r="24">
      <c r="A24" s="10" t="inlineStr">
        <is>
          <t>TOTAL GESTIÓN DE ESTIÉRCOL</t>
        </is>
      </c>
      <c r="I24" s="28">
        <f>SUM(I20:I23)</f>
        <v/>
      </c>
      <c r="J24" s="28">
        <f>SUM(J20:J23)</f>
        <v/>
      </c>
      <c r="K24" s="28">
        <f>SUM(K20:K23)</f>
        <v/>
      </c>
      <c r="L24" s="28">
        <f>SUM(L20:L23)</f>
        <v/>
      </c>
      <c r="M24" s="28">
        <f>SUM(M20:M23)</f>
        <v/>
      </c>
    </row>
    <row r="26">
      <c r="A26" s="31" t="inlineStr">
        <is>
          <t>NOTA Fermentación: FE Tier 1 para clima templado (FAO/IPCC 2006). Mejorar a Tier 2 cuando se disponga de peso vivo promedio por categoría y calidad de dieta. NOTA Estiércol: FE por defecto IPCC 2006 Tabla 10-14. La laguna anaeróbica de tambo es la fuente de mayor incertidumbre — verificar temperatura operativa. Las cabezas de la Sección B deben coincidir con las de la Sección A.</t>
        </is>
      </c>
    </row>
  </sheetData>
  <mergeCells count="7">
    <mergeCell ref="A18:N18"/>
    <mergeCell ref="A3:N3"/>
    <mergeCell ref="A24:H24"/>
    <mergeCell ref="A26:N26"/>
    <mergeCell ref="A2:N2"/>
    <mergeCell ref="A16:G16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N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1" customWidth="1" min="3" max="3"/>
    <col width="10" customWidth="1" min="4" max="4"/>
    <col width="12" customWidth="1" min="5" max="5"/>
    <col width="12" customWidth="1" min="6" max="6"/>
    <col width="10" customWidth="1" min="7" max="7"/>
    <col width="14" customWidth="1" min="8" max="8"/>
    <col width="10" customWidth="1" min="9" max="9"/>
    <col width="8" customWidth="1" min="10" max="10"/>
    <col width="12" customWidth="1" min="11" max="11"/>
    <col width="14" customWidth="1" min="12" max="12"/>
    <col width="14" customWidth="1" min="13" max="13"/>
    <col width="12" customWidth="1" min="14" max="14"/>
  </cols>
  <sheetData>
    <row r="1">
      <c r="A1" s="23" t="inlineStr">
        <is>
          <t>SCOPE 1 — SUELOS AGRÍCOLAS  |  N2O de Fertilizantes y Urea</t>
        </is>
      </c>
    </row>
    <row r="2">
      <c r="A2" s="24" t="inlineStr">
        <is>
          <t>IPCC 2006 Vol.4 Cap.11  |  EF1 (N directo) = 0,01 kg N2O-N/kg N aplicado  |  Emisión CO2 urea: 0,734 kg CO2/kg urea  |  EF3 (nitrificación/desnitrif.) incluido en cálculo indirecto</t>
        </is>
      </c>
    </row>
    <row r="4">
      <c r="A4" s="34" t="inlineStr">
        <is>
          <t>Cultivo / Lote</t>
        </is>
      </c>
      <c r="B4" s="34" t="inlineStr">
        <is>
          <t>Campaña</t>
        </is>
      </c>
      <c r="C4" s="34" t="inlineStr">
        <is>
          <t>Superficie
(ha)
[INGRESAR]</t>
        </is>
      </c>
      <c r="D4" s="34" t="inlineStr">
        <is>
          <t>Fertil. N
aplicado
(kg N/ha)
[INGRESAR]</t>
        </is>
      </c>
      <c r="E4" s="34" t="inlineStr">
        <is>
          <t>N total
aplicado
(kg N)
[CALC]</t>
        </is>
      </c>
      <c r="F4" s="34" t="inlineStr">
        <is>
          <t>Urea
aplicada
(kg/ha)
[INGRESAR]</t>
        </is>
      </c>
      <c r="G4" s="34" t="inlineStr">
        <is>
          <t>Urea total
(kg)
[CALC]</t>
        </is>
      </c>
      <c r="H4" s="34" t="inlineStr">
        <is>
          <t>Residuos
cultivo
incorpor.
(t/ha)
[INGRESAR]</t>
        </is>
      </c>
      <c r="I4" s="34" t="inlineStr">
        <is>
          <t>N en
residuos
(kg N)
[CALC]</t>
        </is>
      </c>
      <c r="J4" s="34" t="inlineStr">
        <is>
          <t>EF1
N2O
directo</t>
        </is>
      </c>
      <c r="K4" s="34" t="inlineStr">
        <is>
          <t>N2O
directo
(kg/año)
[CALC]</t>
        </is>
      </c>
      <c r="L4" s="34" t="inlineStr">
        <is>
          <t>CO2 hidr.
urea
(kg CO2)
[CALC]</t>
        </is>
      </c>
      <c r="M4" s="34" t="inlineStr">
        <is>
          <t>N2O total
(kg CO2e/
año)
[CALC]</t>
        </is>
      </c>
      <c r="N4" s="34" t="inlineStr">
        <is>
          <t>TOTAL
tCO2e/año
[CALC]</t>
        </is>
      </c>
    </row>
    <row r="5" ht="20" customHeight="1">
      <c r="A5" s="35" t="inlineStr">
        <is>
          <t>Soja (1ra)</t>
        </is>
      </c>
      <c r="B5" s="5" t="inlineStr"/>
      <c r="C5" s="5" t="n"/>
      <c r="D5" s="5" t="n"/>
      <c r="E5" s="28">
        <f>C5*D5</f>
        <v/>
      </c>
      <c r="F5" s="5" t="n"/>
      <c r="G5" s="28">
        <f>C5*F5</f>
        <v/>
      </c>
      <c r="H5" s="5" t="n"/>
      <c r="I5" s="28">
        <f>C5*H5*0.006</f>
        <v/>
      </c>
      <c r="J5" s="8" t="n">
        <v>0.01</v>
      </c>
      <c r="K5" s="28">
        <f>(E5+I5)*J5*(44/28)</f>
        <v/>
      </c>
      <c r="L5" s="28">
        <f>G5*0.734</f>
        <v/>
      </c>
      <c r="M5" s="28">
        <f>K5*273</f>
        <v/>
      </c>
      <c r="N5" s="28">
        <f>(L5+M5)/1000</f>
        <v/>
      </c>
    </row>
    <row r="6" ht="20" customHeight="1">
      <c r="A6" s="36" t="inlineStr">
        <is>
          <t>Soja (2da)</t>
        </is>
      </c>
      <c r="B6" s="5" t="inlineStr"/>
      <c r="C6" s="5" t="n"/>
      <c r="D6" s="5" t="n"/>
      <c r="E6" s="28">
        <f>C6*D6</f>
        <v/>
      </c>
      <c r="F6" s="5" t="n"/>
      <c r="G6" s="28">
        <f>C6*F6</f>
        <v/>
      </c>
      <c r="H6" s="5" t="n"/>
      <c r="I6" s="28">
        <f>C6*H6*0.006</f>
        <v/>
      </c>
      <c r="J6" s="8" t="n">
        <v>0.01</v>
      </c>
      <c r="K6" s="28">
        <f>(E6+I6)*J6*(44/28)</f>
        <v/>
      </c>
      <c r="L6" s="28">
        <f>G6*0.734</f>
        <v/>
      </c>
      <c r="M6" s="28">
        <f>K6*273</f>
        <v/>
      </c>
      <c r="N6" s="28">
        <f>(L6+M6)/1000</f>
        <v/>
      </c>
    </row>
    <row r="7" ht="20" customHeight="1">
      <c r="A7" s="35" t="inlineStr">
        <is>
          <t>Maíz</t>
        </is>
      </c>
      <c r="B7" s="5" t="inlineStr"/>
      <c r="C7" s="5" t="n"/>
      <c r="D7" s="5" t="n"/>
      <c r="E7" s="28">
        <f>C7*D7</f>
        <v/>
      </c>
      <c r="F7" s="5" t="n"/>
      <c r="G7" s="28">
        <f>C7*F7</f>
        <v/>
      </c>
      <c r="H7" s="5" t="n"/>
      <c r="I7" s="28">
        <f>C7*H7*0.006</f>
        <v/>
      </c>
      <c r="J7" s="8" t="n">
        <v>0.01</v>
      </c>
      <c r="K7" s="28">
        <f>(E7+I7)*J7*(44/28)</f>
        <v/>
      </c>
      <c r="L7" s="28">
        <f>G7*0.734</f>
        <v/>
      </c>
      <c r="M7" s="28">
        <f>K7*273</f>
        <v/>
      </c>
      <c r="N7" s="28">
        <f>(L7+M7)/1000</f>
        <v/>
      </c>
    </row>
    <row r="8" ht="20" customHeight="1">
      <c r="A8" s="36" t="inlineStr">
        <is>
          <t>Trigo</t>
        </is>
      </c>
      <c r="B8" s="5" t="inlineStr"/>
      <c r="C8" s="5" t="n"/>
      <c r="D8" s="5" t="n"/>
      <c r="E8" s="28">
        <f>C8*D8</f>
        <v/>
      </c>
      <c r="F8" s="5" t="n"/>
      <c r="G8" s="28">
        <f>C8*F8</f>
        <v/>
      </c>
      <c r="H8" s="5" t="n"/>
      <c r="I8" s="28">
        <f>C8*H8*0.006</f>
        <v/>
      </c>
      <c r="J8" s="8" t="n">
        <v>0.01</v>
      </c>
      <c r="K8" s="28">
        <f>(E8+I8)*J8*(44/28)</f>
        <v/>
      </c>
      <c r="L8" s="28">
        <f>G8*0.734</f>
        <v/>
      </c>
      <c r="M8" s="28">
        <f>K8*273</f>
        <v/>
      </c>
      <c r="N8" s="28">
        <f>(L8+M8)/1000</f>
        <v/>
      </c>
    </row>
    <row r="9" ht="20" customHeight="1">
      <c r="A9" s="35" t="inlineStr">
        <is>
          <t>Sorgo forrajero</t>
        </is>
      </c>
      <c r="B9" s="5" t="inlineStr"/>
      <c r="C9" s="5" t="n"/>
      <c r="D9" s="5" t="n"/>
      <c r="E9" s="28">
        <f>C9*D9</f>
        <v/>
      </c>
      <c r="F9" s="5" t="n"/>
      <c r="G9" s="28">
        <f>C9*F9</f>
        <v/>
      </c>
      <c r="H9" s="5" t="n"/>
      <c r="I9" s="28">
        <f>C9*H9*0.006</f>
        <v/>
      </c>
      <c r="J9" s="8" t="n">
        <v>0.01</v>
      </c>
      <c r="K9" s="28">
        <f>(E9+I9)*J9*(44/28)</f>
        <v/>
      </c>
      <c r="L9" s="28">
        <f>G9*0.734</f>
        <v/>
      </c>
      <c r="M9" s="28">
        <f>K9*273</f>
        <v/>
      </c>
      <c r="N9" s="28">
        <f>(L9+M9)/1000</f>
        <v/>
      </c>
    </row>
    <row r="10" ht="20" customHeight="1">
      <c r="A10" s="36" t="inlineStr">
        <is>
          <t>Girasol</t>
        </is>
      </c>
      <c r="B10" s="5" t="inlineStr"/>
      <c r="C10" s="5" t="n"/>
      <c r="D10" s="5" t="n"/>
      <c r="E10" s="28">
        <f>C10*D10</f>
        <v/>
      </c>
      <c r="F10" s="5" t="n"/>
      <c r="G10" s="28">
        <f>C10*F10</f>
        <v/>
      </c>
      <c r="H10" s="5" t="n"/>
      <c r="I10" s="28">
        <f>C10*H10*0.006</f>
        <v/>
      </c>
      <c r="J10" s="8" t="n">
        <v>0.01</v>
      </c>
      <c r="K10" s="28">
        <f>(E10+I10)*J10*(44/28)</f>
        <v/>
      </c>
      <c r="L10" s="28">
        <f>G10*0.734</f>
        <v/>
      </c>
      <c r="M10" s="28">
        <f>K10*273</f>
        <v/>
      </c>
      <c r="N10" s="28">
        <f>(L10+M10)/1000</f>
        <v/>
      </c>
    </row>
    <row r="11" ht="20" customHeight="1">
      <c r="A11" s="35" t="inlineStr">
        <is>
          <t>Pasturas implantadas</t>
        </is>
      </c>
      <c r="B11" s="5" t="inlineStr"/>
      <c r="C11" s="5" t="n"/>
      <c r="D11" s="5" t="n"/>
      <c r="E11" s="28">
        <f>C11*D11</f>
        <v/>
      </c>
      <c r="F11" s="5" t="n"/>
      <c r="G11" s="28">
        <f>C11*F11</f>
        <v/>
      </c>
      <c r="H11" s="5" t="n"/>
      <c r="I11" s="28">
        <f>C11*H11*0.006</f>
        <v/>
      </c>
      <c r="J11" s="8" t="n">
        <v>0.01</v>
      </c>
      <c r="K11" s="28">
        <f>(E11+I11)*J11*(44/28)</f>
        <v/>
      </c>
      <c r="L11" s="28">
        <f>G11*0.734</f>
        <v/>
      </c>
      <c r="M11" s="28">
        <f>K11*273</f>
        <v/>
      </c>
      <c r="N11" s="28">
        <f>(L11+M11)/1000</f>
        <v/>
      </c>
    </row>
    <row r="12" ht="20" customHeight="1">
      <c r="A12" s="36" t="inlineStr">
        <is>
          <t>Otro cultivo 1</t>
        </is>
      </c>
      <c r="B12" s="5" t="inlineStr"/>
      <c r="C12" s="5" t="n"/>
      <c r="D12" s="5" t="n"/>
      <c r="E12" s="28">
        <f>C12*D12</f>
        <v/>
      </c>
      <c r="F12" s="5" t="n"/>
      <c r="G12" s="28">
        <f>C12*F12</f>
        <v/>
      </c>
      <c r="H12" s="5" t="n"/>
      <c r="I12" s="28">
        <f>C12*H12*0.006</f>
        <v/>
      </c>
      <c r="J12" s="8" t="n">
        <v>0.01</v>
      </c>
      <c r="K12" s="28">
        <f>(E12+I12)*J12*(44/28)</f>
        <v/>
      </c>
      <c r="L12" s="28">
        <f>G12*0.734</f>
        <v/>
      </c>
      <c r="M12" s="28">
        <f>K12*273</f>
        <v/>
      </c>
      <c r="N12" s="28">
        <f>(L12+M12)/1000</f>
        <v/>
      </c>
    </row>
    <row r="13" ht="20" customHeight="1">
      <c r="A13" s="35" t="inlineStr">
        <is>
          <t>Otro cultivo 2</t>
        </is>
      </c>
      <c r="B13" s="5" t="inlineStr"/>
      <c r="C13" s="5" t="n"/>
      <c r="D13" s="5" t="n"/>
      <c r="E13" s="28">
        <f>C13*D13</f>
        <v/>
      </c>
      <c r="F13" s="5" t="n"/>
      <c r="G13" s="28">
        <f>C13*F13</f>
        <v/>
      </c>
      <c r="H13" s="5" t="n"/>
      <c r="I13" s="28">
        <f>C13*H13*0.006</f>
        <v/>
      </c>
      <c r="J13" s="8" t="n">
        <v>0.01</v>
      </c>
      <c r="K13" s="28">
        <f>(E13+I13)*J13*(44/28)</f>
        <v/>
      </c>
      <c r="L13" s="28">
        <f>G13*0.734</f>
        <v/>
      </c>
      <c r="M13" s="28">
        <f>K13*273</f>
        <v/>
      </c>
      <c r="N13" s="28">
        <f>(L13+M13)/1000</f>
        <v/>
      </c>
    </row>
    <row r="14" ht="22" customHeight="1">
      <c r="A14" s="10" t="inlineStr">
        <is>
          <t>TOTAL SUELOS AGRÍCOLAS</t>
        </is>
      </c>
      <c r="J14" s="28" t="inlineStr">
        <is>
          <t>---</t>
        </is>
      </c>
      <c r="K14" s="28">
        <f>SUM(K5:K13)</f>
        <v/>
      </c>
      <c r="L14" s="28">
        <f>SUM(L5:L13)</f>
        <v/>
      </c>
      <c r="M14" s="28">
        <f>SUM(M5:M13)</f>
        <v/>
      </c>
      <c r="N14" s="28">
        <f>SUM(N5:N13)</f>
        <v/>
      </c>
    </row>
    <row r="16">
      <c r="A16" s="32" t="inlineStr">
        <is>
          <t>SECCIÓN B — EMISIONES ADICIONALES: AGROQUÍMICOS Y ENMIENDAS</t>
        </is>
      </c>
    </row>
    <row r="17">
      <c r="A17" s="31" t="inlineStr">
        <is>
          <t>Los agroquímicos (herbicidas, fungicidas, insecticidas) no tienen FE estandarizado en IPCC para Scope 1. Se registran aquí para Scope 3 (emisiones upstream de fabricación) cuando se reporte esa categoría. Enmiendas calcáreas (cal, dolomita): FE = 0,44 kg CO2/kg cal; 0,477 kg CO2/kg dolomita.</t>
        </is>
      </c>
    </row>
    <row r="18">
      <c r="A18" s="15" t="inlineStr">
        <is>
          <t>Insumo</t>
        </is>
      </c>
      <c r="B18" s="15" t="inlineStr">
        <is>
          <t>Tipo</t>
        </is>
      </c>
      <c r="C18" s="15" t="inlineStr">
        <is>
          <t>Cantidad
Anual (kg o L)
[INGRESAR]</t>
        </is>
      </c>
      <c r="D18" s="15" t="inlineStr">
        <is>
          <t>Unidad</t>
        </is>
      </c>
      <c r="E18" s="15" t="inlineStr">
        <is>
          <t>FE referencial
(kg CO2/kg o L)</t>
        </is>
      </c>
      <c r="F18" s="15" t="inlineStr">
        <is>
          <t>Emisiones CO2
(kg/año)
[CALC]</t>
        </is>
      </c>
      <c r="G18" s="15" t="inlineStr">
        <is>
          <t>Scope</t>
        </is>
      </c>
      <c r="H18" s="15" t="inlineStr">
        <is>
          <t>Observaciones</t>
        </is>
      </c>
    </row>
    <row r="19" ht="20" customHeight="1">
      <c r="A19" s="35" t="inlineStr">
        <is>
          <t>Urea</t>
        </is>
      </c>
      <c r="B19" s="27" t="inlineStr">
        <is>
          <t>Fertilizante N</t>
        </is>
      </c>
      <c r="C19" s="5" t="n"/>
      <c r="D19" s="27" t="inlineStr">
        <is>
          <t>kg</t>
        </is>
      </c>
      <c r="E19" s="8" t="inlineStr">
        <is>
          <t>Ya incluido en S A</t>
        </is>
      </c>
      <c r="F19" s="28" t="inlineStr">
        <is>
          <t>---</t>
        </is>
      </c>
      <c r="G19" s="27" t="inlineStr">
        <is>
          <t>Scope 1</t>
        </is>
      </c>
      <c r="H19" s="27" t="inlineStr">
        <is>
          <t>Hidrolisis: 0,734 kg CO2/kg</t>
        </is>
      </c>
    </row>
    <row r="20" ht="20" customHeight="1">
      <c r="A20" s="36" t="inlineStr">
        <is>
          <t>Fertilizante N (otro)</t>
        </is>
      </c>
      <c r="B20" s="30" t="inlineStr">
        <is>
          <t>Fertilizante N</t>
        </is>
      </c>
      <c r="C20" s="5" t="n"/>
      <c r="D20" s="30" t="inlineStr">
        <is>
          <t>kg N</t>
        </is>
      </c>
      <c r="E20" s="8" t="inlineStr">
        <is>
          <t>---</t>
        </is>
      </c>
      <c r="F20" s="28" t="inlineStr">
        <is>
          <t>---</t>
        </is>
      </c>
      <c r="G20" s="30" t="inlineStr">
        <is>
          <t>Scope 1</t>
        </is>
      </c>
      <c r="H20" s="30" t="inlineStr">
        <is>
          <t>N directo en Sec A</t>
        </is>
      </c>
    </row>
    <row r="21" ht="20" customHeight="1">
      <c r="A21" s="35" t="inlineStr">
        <is>
          <t>Herbicidas</t>
        </is>
      </c>
      <c r="B21" s="27" t="inlineStr">
        <is>
          <t>Agroquímico</t>
        </is>
      </c>
      <c r="C21" s="5" t="n"/>
      <c r="D21" s="27" t="inlineStr">
        <is>
          <t>L</t>
        </is>
      </c>
      <c r="E21" s="8" t="inlineStr">
        <is>
          <t>No estandarizado</t>
        </is>
      </c>
      <c r="F21" s="28" t="inlineStr">
        <is>
          <t>---</t>
        </is>
      </c>
      <c r="G21" s="27" t="inlineStr">
        <is>
          <t>Scope 3</t>
        </is>
      </c>
      <c r="H21" s="27" t="inlineStr">
        <is>
          <t>Registrar para futuro Sc3</t>
        </is>
      </c>
    </row>
    <row r="22" ht="20" customHeight="1">
      <c r="A22" s="36" t="inlineStr">
        <is>
          <t>Fungicidas</t>
        </is>
      </c>
      <c r="B22" s="30" t="inlineStr">
        <is>
          <t>Agroquímico</t>
        </is>
      </c>
      <c r="C22" s="5" t="n"/>
      <c r="D22" s="30" t="inlineStr">
        <is>
          <t>L</t>
        </is>
      </c>
      <c r="E22" s="8" t="inlineStr">
        <is>
          <t>No estandarizado</t>
        </is>
      </c>
      <c r="F22" s="28" t="inlineStr">
        <is>
          <t>---</t>
        </is>
      </c>
      <c r="G22" s="30" t="inlineStr">
        <is>
          <t>Scope 3</t>
        </is>
      </c>
      <c r="H22" s="30" t="inlineStr">
        <is>
          <t>Registrar para futuro Sc3</t>
        </is>
      </c>
    </row>
    <row r="23" ht="20" customHeight="1">
      <c r="A23" s="35" t="inlineStr">
        <is>
          <t>Insecticidas</t>
        </is>
      </c>
      <c r="B23" s="27" t="inlineStr">
        <is>
          <t>Agroquímico</t>
        </is>
      </c>
      <c r="C23" s="5" t="n"/>
      <c r="D23" s="27" t="inlineStr">
        <is>
          <t>L</t>
        </is>
      </c>
      <c r="E23" s="8" t="inlineStr">
        <is>
          <t>No estandarizado</t>
        </is>
      </c>
      <c r="F23" s="28" t="inlineStr">
        <is>
          <t>---</t>
        </is>
      </c>
      <c r="G23" s="27" t="inlineStr">
        <is>
          <t>Scope 3</t>
        </is>
      </c>
      <c r="H23" s="27" t="inlineStr">
        <is>
          <t>Registrar para futuro Sc3</t>
        </is>
      </c>
    </row>
    <row r="24" ht="20" customHeight="1">
      <c r="A24" s="36" t="inlineStr">
        <is>
          <t>Cal agrícola</t>
        </is>
      </c>
      <c r="B24" s="30" t="inlineStr">
        <is>
          <t>Enmienda</t>
        </is>
      </c>
      <c r="C24" s="5" t="n"/>
      <c r="D24" s="30" t="inlineStr">
        <is>
          <t>kg</t>
        </is>
      </c>
      <c r="E24" s="8" t="inlineStr">
        <is>
          <t>0,440</t>
        </is>
      </c>
      <c r="F24" s="28">
        <f>C24*E24</f>
        <v/>
      </c>
      <c r="G24" s="30" t="inlineStr">
        <is>
          <t>Scope 1</t>
        </is>
      </c>
      <c r="H24" s="30" t="inlineStr">
        <is>
          <t>Encalado: 0,44 kg CO2/kg</t>
        </is>
      </c>
    </row>
    <row r="25" ht="20" customHeight="1">
      <c r="A25" s="35" t="inlineStr">
        <is>
          <t>Dolomita</t>
        </is>
      </c>
      <c r="B25" s="27" t="inlineStr">
        <is>
          <t>Enmienda</t>
        </is>
      </c>
      <c r="C25" s="5" t="n"/>
      <c r="D25" s="27" t="inlineStr">
        <is>
          <t>kg</t>
        </is>
      </c>
      <c r="E25" s="8" t="inlineStr">
        <is>
          <t>0,477</t>
        </is>
      </c>
      <c r="F25" s="28">
        <f>C25*E25</f>
        <v/>
      </c>
      <c r="G25" s="27" t="inlineStr">
        <is>
          <t>Scope 1</t>
        </is>
      </c>
      <c r="H25" s="27" t="inlineStr">
        <is>
          <t>Si se usa dolomita</t>
        </is>
      </c>
    </row>
  </sheetData>
  <mergeCells count="5">
    <mergeCell ref="A17:N17"/>
    <mergeCell ref="A16:N16"/>
    <mergeCell ref="A14:I14"/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L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9" customWidth="1" min="4" max="4"/>
    <col width="11" customWidth="1" min="5" max="5"/>
    <col width="10" customWidth="1" min="6" max="6"/>
    <col width="10" customWidth="1" min="7" max="7"/>
    <col width="9" customWidth="1" min="8" max="8"/>
    <col width="8" customWidth="1" min="9" max="9"/>
    <col width="12" customWidth="1" min="10" max="10"/>
    <col width="14" customWidth="1" min="11" max="11"/>
    <col width="12" customWidth="1" min="12" max="12"/>
  </cols>
  <sheetData>
    <row r="1">
      <c r="A1" s="23" t="inlineStr">
        <is>
          <t>SCOPE 1 — EFLUENTES LÍQUIDOS  |  Feedlot + Tambo</t>
        </is>
      </c>
    </row>
    <row r="2">
      <c r="A2" s="24" t="inlineStr">
        <is>
          <t>IPCC 2006 Vol.5 Cap.6  |  Bo (CH4 máx.) feedlot: 0,16 m³ CH4/kg DBO  |  EF efluentes N2O (Doering): 0,005 kg N2O-N/kg N efluente  |  Densidad CH4: 0,00067 t/m³</t>
        </is>
      </c>
    </row>
    <row r="4">
      <c r="A4" s="34" t="inlineStr">
        <is>
          <t>Origen
Efluente</t>
        </is>
      </c>
      <c r="B4" s="34" t="inlineStr">
        <is>
          <t>Sistema de
Tratamiento</t>
        </is>
      </c>
      <c r="C4" s="34" t="inlineStr">
        <is>
          <t>Caudal
diario
(m³/día)
[INGRESAR]</t>
        </is>
      </c>
      <c r="D4" s="34" t="inlineStr">
        <is>
          <t>Días
operación
/año
[INGRESAR]</t>
        </is>
      </c>
      <c r="E4" s="34" t="inlineStr">
        <is>
          <t>Volumen
anual
(m³/año)
[CALC]</t>
        </is>
      </c>
      <c r="F4" s="34" t="inlineStr">
        <is>
          <t>DBO
afluente
(mg/L)
[INGRESAR]</t>
        </is>
      </c>
      <c r="G4" s="34" t="inlineStr">
        <is>
          <t>DBO
Efluente
(mg O2/L)
[INGRESAR]</t>
        </is>
      </c>
      <c r="H4" s="34" t="inlineStr">
        <is>
          <t>Bo
(m³ CH4
/kg DBO)</t>
        </is>
      </c>
      <c r="I4" s="34" t="inlineStr">
        <is>
          <t>MCF
(Factor
corr.)</t>
        </is>
      </c>
      <c r="J4" s="34" t="inlineStr">
        <is>
          <t>CH4
(m³/año)
[CALC]</t>
        </is>
      </c>
      <c r="K4" s="34" t="inlineStr">
        <is>
          <t>CH4
(kg CO2e
/año)
[CALC]</t>
        </is>
      </c>
      <c r="L4" s="34" t="inlineStr">
        <is>
          <t>TOTAL
tCO2e/año
[CALC]</t>
        </is>
      </c>
    </row>
    <row r="5" ht="22" customHeight="1">
      <c r="A5" s="35" t="inlineStr">
        <is>
          <t>Tambo — efluente sala ordeñe</t>
        </is>
      </c>
      <c r="B5" s="27" t="inlineStr">
        <is>
          <t>Laguna anaeróbica</t>
        </is>
      </c>
      <c r="C5" s="5" t="n"/>
      <c r="D5" s="5" t="inlineStr">
        <is>
          <t>365</t>
        </is>
      </c>
      <c r="E5" s="28">
        <f>C5*D5</f>
        <v/>
      </c>
      <c r="F5" s="5" t="n"/>
      <c r="G5" s="5" t="n"/>
      <c r="H5" s="8" t="n">
        <v>0.16</v>
      </c>
      <c r="I5" s="8" t="n">
        <v>0.8</v>
      </c>
      <c r="J5" s="28">
        <f>E5*(F5-G5)/1000*H5*I5</f>
        <v/>
      </c>
      <c r="K5" s="28">
        <f>J5*0.00067*1000*29.8</f>
        <v/>
      </c>
      <c r="L5" s="28">
        <f>K5/1000</f>
        <v/>
      </c>
    </row>
    <row r="6" ht="22" customHeight="1">
      <c r="A6" s="36" t="inlineStr">
        <is>
          <t>Tambo — corrales y aguadas</t>
        </is>
      </c>
      <c r="B6" s="30" t="inlineStr">
        <is>
          <t>Laguna/infiltración</t>
        </is>
      </c>
      <c r="C6" s="5" t="n"/>
      <c r="D6" s="5" t="inlineStr">
        <is>
          <t>365</t>
        </is>
      </c>
      <c r="E6" s="28">
        <f>C6*D6</f>
        <v/>
      </c>
      <c r="F6" s="5" t="n"/>
      <c r="G6" s="5" t="n"/>
      <c r="H6" s="8" t="n">
        <v>0.16</v>
      </c>
      <c r="I6" s="8" t="n">
        <v>0.3</v>
      </c>
      <c r="J6" s="28">
        <f>E6*(F6-G6)/1000*H6*I6</f>
        <v/>
      </c>
      <c r="K6" s="28">
        <f>J6*0.00067*1000*29.8</f>
        <v/>
      </c>
      <c r="L6" s="28">
        <f>K6/1000</f>
        <v/>
      </c>
    </row>
    <row r="7" ht="22" customHeight="1">
      <c r="A7" s="35" t="inlineStr">
        <is>
          <t>Feedlot — escorrentía corrales</t>
        </is>
      </c>
      <c r="B7" s="27" t="inlineStr">
        <is>
          <t>Laguna anaeróbica</t>
        </is>
      </c>
      <c r="C7" s="5" t="n"/>
      <c r="D7" s="5" t="inlineStr">
        <is>
          <t>365</t>
        </is>
      </c>
      <c r="E7" s="28">
        <f>C7*D7</f>
        <v/>
      </c>
      <c r="F7" s="5" t="n"/>
      <c r="G7" s="5" t="n"/>
      <c r="H7" s="8" t="n">
        <v>0.16</v>
      </c>
      <c r="I7" s="8" t="n">
        <v>0.8</v>
      </c>
      <c r="J7" s="28">
        <f>E7*(F7-G7)/1000*H7*I7</f>
        <v/>
      </c>
      <c r="K7" s="28">
        <f>J7*0.00067*1000*29.8</f>
        <v/>
      </c>
      <c r="L7" s="28">
        <f>K7/1000</f>
        <v/>
      </c>
    </row>
    <row r="8" ht="22" customHeight="1">
      <c r="A8" s="36" t="inlineStr">
        <is>
          <t>Feedlot — aguas de bebederos</t>
        </is>
      </c>
      <c r="B8" s="30" t="inlineStr">
        <is>
          <t>Infiltración</t>
        </is>
      </c>
      <c r="C8" s="5" t="n"/>
      <c r="D8" s="5" t="inlineStr">
        <is>
          <t>200</t>
        </is>
      </c>
      <c r="E8" s="28">
        <f>C8*D8</f>
        <v/>
      </c>
      <c r="F8" s="5" t="n"/>
      <c r="G8" s="5" t="n"/>
      <c r="H8" s="8" t="n">
        <v>0.08</v>
      </c>
      <c r="I8" s="8" t="n">
        <v>0.1</v>
      </c>
      <c r="J8" s="28">
        <f>E8*(F8-G8)/1000*H8*I8</f>
        <v/>
      </c>
      <c r="K8" s="28">
        <f>J8*0.00067*1000*29.8</f>
        <v/>
      </c>
      <c r="L8" s="28">
        <f>K8/1000</f>
        <v/>
      </c>
    </row>
    <row r="9" ht="22" customHeight="1">
      <c r="A9" s="10" t="inlineStr">
        <is>
          <t>TOTAL EFLUENTES</t>
        </is>
      </c>
      <c r="J9" s="28">
        <f>SUM(J5:J8)</f>
        <v/>
      </c>
      <c r="K9" s="28">
        <f>SUM(K5:K8)</f>
        <v/>
      </c>
      <c r="L9" s="28">
        <f>SUM(L5:L8)</f>
        <v/>
      </c>
    </row>
    <row r="11">
      <c r="A11" s="32" t="inlineStr">
        <is>
          <t>DATOS DE APOYO — TAMBO (completar para contexto)</t>
        </is>
      </c>
    </row>
    <row r="12" ht="20" customHeight="1">
      <c r="A12" s="4" t="inlineStr">
        <is>
          <t>Vacas en ordeñe (promedio año)</t>
        </is>
      </c>
      <c r="B12" s="5" t="n"/>
      <c r="E12" s="33" t="inlineStr">
        <is>
          <t>cabezas</t>
        </is>
      </c>
    </row>
    <row r="13" ht="20" customHeight="1">
      <c r="A13" s="4" t="inlineStr">
        <is>
          <t>Producción leche por vaca (L/día)</t>
        </is>
      </c>
      <c r="B13" s="5" t="n"/>
      <c r="E13" s="33" t="inlineStr">
        <is>
          <t>L/vaca/día</t>
        </is>
      </c>
    </row>
    <row r="14" ht="20" customHeight="1">
      <c r="A14" s="4" t="inlineStr">
        <is>
          <t>Producción leche total (L/año)</t>
        </is>
      </c>
      <c r="B14" s="5" t="n"/>
      <c r="E14" s="33" t="inlineStr">
        <is>
          <t>L/año — o CALC si los anteriores están completos</t>
        </is>
      </c>
    </row>
    <row r="15" ht="20" customHeight="1">
      <c r="A15" s="4" t="inlineStr">
        <is>
          <t>Días de ordeñe por año</t>
        </is>
      </c>
      <c r="B15" s="5" t="n"/>
      <c r="E15" s="33" t="inlineStr">
        <is>
          <t>días</t>
        </is>
      </c>
    </row>
    <row r="16" ht="20" customHeight="1">
      <c r="A16" s="4" t="inlineStr">
        <is>
          <t>Tipo de sala de ordeñe</t>
        </is>
      </c>
      <c r="B16" s="5" t="n"/>
      <c r="E16" s="33" t="inlineStr">
        <is>
          <t>rotativa, espina de pescado, etc.</t>
        </is>
      </c>
    </row>
    <row r="17" ht="20" customHeight="1">
      <c r="A17" s="4" t="inlineStr">
        <is>
          <t>Sistema de lavado de sala</t>
        </is>
      </c>
      <c r="B17" s="5" t="n"/>
      <c r="E17" s="33" t="inlineStr">
        <is>
          <t>agua fría/caliente, CIP, etc.</t>
        </is>
      </c>
    </row>
    <row r="18" ht="20" customHeight="1">
      <c r="A18" s="4" t="inlineStr">
        <is>
          <t>Destino del efluente de sala</t>
        </is>
      </c>
      <c r="B18" s="5" t="n"/>
      <c r="E18" s="33" t="inlineStr">
        <is>
          <t>laguna, compost, biodigestor, etc.</t>
        </is>
      </c>
    </row>
    <row r="20">
      <c r="A20" s="32" t="inlineStr">
        <is>
          <t>DATOS DE APOYO — FEEDLOT (completar para contexto)</t>
        </is>
      </c>
    </row>
    <row r="21" ht="20" customHeight="1">
      <c r="A21" s="4" t="inlineStr">
        <is>
          <t>Cabezas en engorde simultáneamente (promedio)</t>
        </is>
      </c>
      <c r="B21" s="5" t="n"/>
      <c r="E21" s="33" t="inlineStr">
        <is>
          <t>cabezas</t>
        </is>
      </c>
    </row>
    <row r="22" ht="20" customHeight="1">
      <c r="A22" s="4" t="inlineStr">
        <is>
          <t>Días promedio de estadía en feedlot</t>
        </is>
      </c>
      <c r="B22" s="5" t="n"/>
      <c r="E22" s="33" t="inlineStr">
        <is>
          <t>días</t>
        </is>
      </c>
    </row>
    <row r="23" ht="20" customHeight="1">
      <c r="A23" s="4" t="inlineStr">
        <is>
          <t>Entradas de hacienda por año (ciclos)</t>
        </is>
      </c>
      <c r="B23" s="5" t="n"/>
      <c r="E23" s="33" t="inlineStr">
        <is>
          <t>ciclos/año</t>
        </is>
      </c>
    </row>
    <row r="24" ht="20" customHeight="1">
      <c r="A24" s="4" t="inlineStr">
        <is>
          <t>Superficie total de corrales (m²)</t>
        </is>
      </c>
      <c r="B24" s="5" t="n"/>
      <c r="E24" s="33" t="inlineStr">
        <is>
          <t>m²</t>
        </is>
      </c>
    </row>
    <row r="25" ht="20" customHeight="1">
      <c r="A25" s="4" t="inlineStr">
        <is>
          <t>Sistema de drenaje</t>
        </is>
      </c>
      <c r="B25" s="5" t="n"/>
      <c r="E25" s="33" t="inlineStr">
        <is>
          <t>describirlo</t>
        </is>
      </c>
    </row>
    <row r="26" ht="20" customHeight="1">
      <c r="A26" s="4" t="inlineStr">
        <is>
          <t>Destino del estiércol sólido</t>
        </is>
      </c>
      <c r="B26" s="5" t="n"/>
      <c r="E26" s="33" t="inlineStr">
        <is>
          <t>compost, esparcido, venta, etc.</t>
        </is>
      </c>
    </row>
    <row r="27" ht="20" customHeight="1">
      <c r="A27" s="4" t="inlineStr">
        <is>
          <t>Capacidad laguna de efluentes (m³)</t>
        </is>
      </c>
      <c r="B27" s="5" t="n"/>
      <c r="E27" s="33" t="inlineStr">
        <is>
          <t>m³</t>
        </is>
      </c>
    </row>
  </sheetData>
  <mergeCells count="33">
    <mergeCell ref="E12:L12"/>
    <mergeCell ref="E18:L18"/>
    <mergeCell ref="B14:D14"/>
    <mergeCell ref="E21:L21"/>
    <mergeCell ref="B23:D23"/>
    <mergeCell ref="B17:D17"/>
    <mergeCell ref="E24:L24"/>
    <mergeCell ref="B13:D13"/>
    <mergeCell ref="E14:L14"/>
    <mergeCell ref="E23:L23"/>
    <mergeCell ref="E17:L17"/>
    <mergeCell ref="A2:L2"/>
    <mergeCell ref="E13:L13"/>
    <mergeCell ref="B15:D15"/>
    <mergeCell ref="B24:D24"/>
    <mergeCell ref="A20:L20"/>
    <mergeCell ref="E15:L15"/>
    <mergeCell ref="B26:D26"/>
    <mergeCell ref="A9:I9"/>
    <mergeCell ref="E27:L27"/>
    <mergeCell ref="B25:D25"/>
    <mergeCell ref="B16:D16"/>
    <mergeCell ref="E26:L26"/>
    <mergeCell ref="A11:L11"/>
    <mergeCell ref="B22:D22"/>
    <mergeCell ref="E25:L25"/>
    <mergeCell ref="A1:L1"/>
    <mergeCell ref="E16:L16"/>
    <mergeCell ref="B18:D18"/>
    <mergeCell ref="B27:D27"/>
    <mergeCell ref="B21:D21"/>
    <mergeCell ref="E22:L22"/>
    <mergeCell ref="B12:D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70C0"/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2" customWidth="1" min="4" max="4"/>
    <col width="14" customWidth="1" min="5" max="5"/>
    <col width="16" customWidth="1" min="6" max="6"/>
    <col width="10" customWidth="1" min="7" max="7"/>
    <col width="14" customWidth="1" min="8" max="8"/>
    <col width="12" customWidth="1" min="9" max="9"/>
    <col width="22" customWidth="1" min="10" max="10"/>
  </cols>
  <sheetData>
    <row r="1">
      <c r="A1" s="37" t="inlineStr">
        <is>
          <t>SCOPE 2 — ELECTRICIDAD DE RED  |  Enfoque Basado en Localización</t>
        </is>
      </c>
    </row>
    <row r="2">
      <c r="A2" s="38" t="inlineStr">
        <is>
          <t>GHG Protocol — Scope 2 Guidance (2015)  |  Factor de Emisión Red Argentina CAMMESA 2023: 0,383 kg CO2e/kWh  |  20% del consumo eléctrico total es de red; 80% autogenerado (incluido en S1-2)</t>
        </is>
      </c>
    </row>
    <row r="4">
      <c r="A4" s="39" t="inlineStr">
        <is>
          <t>Mes</t>
        </is>
      </c>
      <c r="B4" s="39" t="inlineStr">
        <is>
          <t>Año</t>
        </is>
      </c>
      <c r="C4" s="39" t="inlineStr">
        <is>
          <t>kWh
facturados
(red)
[INGRESAR]</t>
        </is>
      </c>
      <c r="D4" s="39" t="inlineStr">
        <is>
          <t>Demanda
punta
(kW)
[INGRESAR]</t>
        </is>
      </c>
      <c r="E4" s="39" t="inlineStr">
        <is>
          <t>Costo
($)
[INGRESAR]</t>
        </is>
      </c>
      <c r="F4" s="39" t="inlineStr">
        <is>
          <t>N° Factura
[INGRESAR]</t>
        </is>
      </c>
      <c r="G4" s="39" t="inlineStr">
        <is>
          <t>FE Red
(kg CO2e
/kWh)</t>
        </is>
      </c>
      <c r="H4" s="39" t="inlineStr">
        <is>
          <t>Emisiones
CO2e
(kg)
[CALC]</t>
        </is>
      </c>
      <c r="I4" s="39" t="inlineStr">
        <is>
          <t>Emisiones
CO2e
(tCO2e)
[CALC]</t>
        </is>
      </c>
      <c r="J4" s="39" t="inlineStr">
        <is>
          <t>Observaciones</t>
        </is>
      </c>
    </row>
    <row r="5" ht="20" customHeight="1">
      <c r="A5" s="27" t="inlineStr">
        <is>
          <t>Enero</t>
        </is>
      </c>
      <c r="B5" s="5" t="n"/>
      <c r="C5" s="5" t="n"/>
      <c r="D5" s="5" t="n"/>
      <c r="E5" s="5" t="n"/>
      <c r="F5" s="5" t="n"/>
      <c r="G5" s="8" t="n">
        <v>0.383</v>
      </c>
      <c r="H5" s="28">
        <f>C5*G5</f>
        <v/>
      </c>
      <c r="I5" s="28">
        <f>H5/1000</f>
        <v/>
      </c>
      <c r="J5" s="5" t="n"/>
    </row>
    <row r="6" ht="20" customHeight="1">
      <c r="A6" s="30" t="inlineStr">
        <is>
          <t>Febrero</t>
        </is>
      </c>
      <c r="B6" s="5" t="n"/>
      <c r="C6" s="5" t="n"/>
      <c r="D6" s="5" t="n"/>
      <c r="E6" s="5" t="n"/>
      <c r="F6" s="5" t="n"/>
      <c r="G6" s="8" t="n">
        <v>0.383</v>
      </c>
      <c r="H6" s="28">
        <f>C6*G6</f>
        <v/>
      </c>
      <c r="I6" s="28">
        <f>H6/1000</f>
        <v/>
      </c>
      <c r="J6" s="5" t="n"/>
    </row>
    <row r="7" ht="20" customHeight="1">
      <c r="A7" s="27" t="inlineStr">
        <is>
          <t>Marzo</t>
        </is>
      </c>
      <c r="B7" s="5" t="n"/>
      <c r="C7" s="5" t="n"/>
      <c r="D7" s="5" t="n"/>
      <c r="E7" s="5" t="n"/>
      <c r="F7" s="5" t="n"/>
      <c r="G7" s="8" t="n">
        <v>0.383</v>
      </c>
      <c r="H7" s="28">
        <f>C7*G7</f>
        <v/>
      </c>
      <c r="I7" s="28">
        <f>H7/1000</f>
        <v/>
      </c>
      <c r="J7" s="5" t="n"/>
    </row>
    <row r="8" ht="20" customHeight="1">
      <c r="A8" s="30" t="inlineStr">
        <is>
          <t>Abril</t>
        </is>
      </c>
      <c r="B8" s="5" t="n"/>
      <c r="C8" s="5" t="n"/>
      <c r="D8" s="5" t="n"/>
      <c r="E8" s="5" t="n"/>
      <c r="F8" s="5" t="n"/>
      <c r="G8" s="8" t="n">
        <v>0.383</v>
      </c>
      <c r="H8" s="28">
        <f>C8*G8</f>
        <v/>
      </c>
      <c r="I8" s="28">
        <f>H8/1000</f>
        <v/>
      </c>
      <c r="J8" s="5" t="n"/>
    </row>
    <row r="9" ht="20" customHeight="1">
      <c r="A9" s="27" t="inlineStr">
        <is>
          <t>Mayo</t>
        </is>
      </c>
      <c r="B9" s="5" t="n"/>
      <c r="C9" s="5" t="n"/>
      <c r="D9" s="5" t="n"/>
      <c r="E9" s="5" t="n"/>
      <c r="F9" s="5" t="n"/>
      <c r="G9" s="8" t="n">
        <v>0.383</v>
      </c>
      <c r="H9" s="28">
        <f>C9*G9</f>
        <v/>
      </c>
      <c r="I9" s="28">
        <f>H9/1000</f>
        <v/>
      </c>
      <c r="J9" s="5" t="n"/>
    </row>
    <row r="10" ht="20" customHeight="1">
      <c r="A10" s="30" t="inlineStr">
        <is>
          <t>Junio</t>
        </is>
      </c>
      <c r="B10" s="5" t="n"/>
      <c r="C10" s="5" t="n"/>
      <c r="D10" s="5" t="n"/>
      <c r="E10" s="5" t="n"/>
      <c r="F10" s="5" t="n"/>
      <c r="G10" s="8" t="n">
        <v>0.383</v>
      </c>
      <c r="H10" s="28">
        <f>C10*G10</f>
        <v/>
      </c>
      <c r="I10" s="28">
        <f>H10/1000</f>
        <v/>
      </c>
      <c r="J10" s="5" t="n"/>
    </row>
    <row r="11" ht="20" customHeight="1">
      <c r="A11" s="27" t="inlineStr">
        <is>
          <t>Julio</t>
        </is>
      </c>
      <c r="B11" s="5" t="n"/>
      <c r="C11" s="5" t="n"/>
      <c r="D11" s="5" t="n"/>
      <c r="E11" s="5" t="n"/>
      <c r="F11" s="5" t="n"/>
      <c r="G11" s="8" t="n">
        <v>0.383</v>
      </c>
      <c r="H11" s="28">
        <f>C11*G11</f>
        <v/>
      </c>
      <c r="I11" s="28">
        <f>H11/1000</f>
        <v/>
      </c>
      <c r="J11" s="5" t="n"/>
    </row>
    <row r="12" ht="20" customHeight="1">
      <c r="A12" s="30" t="inlineStr">
        <is>
          <t>Agosto</t>
        </is>
      </c>
      <c r="B12" s="5" t="n"/>
      <c r="C12" s="5" t="n"/>
      <c r="D12" s="5" t="n"/>
      <c r="E12" s="5" t="n"/>
      <c r="F12" s="5" t="n"/>
      <c r="G12" s="8" t="n">
        <v>0.383</v>
      </c>
      <c r="H12" s="28">
        <f>C12*G12</f>
        <v/>
      </c>
      <c r="I12" s="28">
        <f>H12/1000</f>
        <v/>
      </c>
      <c r="J12" s="5" t="n"/>
    </row>
    <row r="13" ht="20" customHeight="1">
      <c r="A13" s="27" t="inlineStr">
        <is>
          <t>Septiembre</t>
        </is>
      </c>
      <c r="B13" s="5" t="n"/>
      <c r="C13" s="5" t="n"/>
      <c r="D13" s="5" t="n"/>
      <c r="E13" s="5" t="n"/>
      <c r="F13" s="5" t="n"/>
      <c r="G13" s="8" t="n">
        <v>0.383</v>
      </c>
      <c r="H13" s="28">
        <f>C13*G13</f>
        <v/>
      </c>
      <c r="I13" s="28">
        <f>H13/1000</f>
        <v/>
      </c>
      <c r="J13" s="5" t="n"/>
    </row>
    <row r="14" ht="20" customHeight="1">
      <c r="A14" s="30" t="inlineStr">
        <is>
          <t>Octubre</t>
        </is>
      </c>
      <c r="B14" s="5" t="n"/>
      <c r="C14" s="5" t="n"/>
      <c r="D14" s="5" t="n"/>
      <c r="E14" s="5" t="n"/>
      <c r="F14" s="5" t="n"/>
      <c r="G14" s="8" t="n">
        <v>0.383</v>
      </c>
      <c r="H14" s="28">
        <f>C14*G14</f>
        <v/>
      </c>
      <c r="I14" s="28">
        <f>H14/1000</f>
        <v/>
      </c>
      <c r="J14" s="5" t="n"/>
    </row>
    <row r="15" ht="20" customHeight="1">
      <c r="A15" s="27" t="inlineStr">
        <is>
          <t>Noviembre</t>
        </is>
      </c>
      <c r="B15" s="5" t="n"/>
      <c r="C15" s="5" t="n"/>
      <c r="D15" s="5" t="n"/>
      <c r="E15" s="5" t="n"/>
      <c r="F15" s="5" t="n"/>
      <c r="G15" s="8" t="n">
        <v>0.383</v>
      </c>
      <c r="H15" s="28">
        <f>C15*G15</f>
        <v/>
      </c>
      <c r="I15" s="28">
        <f>H15/1000</f>
        <v/>
      </c>
      <c r="J15" s="5" t="n"/>
    </row>
    <row r="16" ht="20" customHeight="1">
      <c r="A16" s="30" t="inlineStr">
        <is>
          <t>Diciembre</t>
        </is>
      </c>
      <c r="B16" s="5" t="n"/>
      <c r="C16" s="5" t="n"/>
      <c r="D16" s="5" t="n"/>
      <c r="E16" s="5" t="n"/>
      <c r="F16" s="5" t="n"/>
      <c r="G16" s="8" t="n">
        <v>0.383</v>
      </c>
      <c r="H16" s="28">
        <f>C16*G16</f>
        <v/>
      </c>
      <c r="I16" s="28">
        <f>H16/1000</f>
        <v/>
      </c>
      <c r="J16" s="5" t="n"/>
    </row>
    <row r="17" ht="22" customHeight="1">
      <c r="A17" s="40" t="inlineStr">
        <is>
          <t>TOTAL ANUAL</t>
        </is>
      </c>
      <c r="C17" s="28">
        <f>SUM(C5:C16)</f>
        <v/>
      </c>
      <c r="D17" s="40" t="inlineStr">
        <is>
          <t>ELECTRICIDAD DE RED</t>
        </is>
      </c>
      <c r="H17" s="28">
        <f>SUM(H5:H16)</f>
        <v/>
      </c>
      <c r="I17" s="28">
        <f>SUM(I5:I16)</f>
        <v/>
      </c>
    </row>
    <row r="19">
      <c r="A19" s="41" t="inlineStr">
        <is>
          <t>SECCIÓN B — AUTOGENERACIÓN (referencia cruzada con S1-2)</t>
        </is>
      </c>
    </row>
    <row r="20">
      <c r="A20" s="39" t="inlineStr">
        <is>
          <t>Descripción</t>
        </is>
      </c>
      <c r="B20" s="39" t="inlineStr">
        <is>
          <t>Valor</t>
        </is>
      </c>
      <c r="C20" s="39" t="inlineStr">
        <is>
          <t>Fuente / Nota</t>
        </is>
      </c>
    </row>
    <row r="21" ht="20" customHeight="1">
      <c r="A21" s="4" t="inlineStr">
        <is>
          <t>kWh generados por generadores (año)</t>
        </is>
      </c>
      <c r="B21" s="5" t="n"/>
      <c r="D21" s="33" t="inlineStr">
        <is>
          <t>De hoja S1-2 col H</t>
        </is>
      </c>
    </row>
    <row r="22" ht="20" customHeight="1">
      <c r="A22" s="4" t="inlineStr">
        <is>
          <t>kWh generados por otra fuente renovable</t>
        </is>
      </c>
      <c r="B22" s="5" t="n"/>
      <c r="D22" s="33" t="inlineStr">
        <is>
          <t>Solar, eólico, etc.</t>
        </is>
      </c>
    </row>
    <row r="23" ht="20" customHeight="1">
      <c r="A23" s="4" t="inlineStr">
        <is>
          <t>Total kWh consumidos en establecimiento (red + autogen.)</t>
        </is>
      </c>
      <c r="B23" s="5" t="n"/>
      <c r="D23" s="33" t="inlineStr">
        <is>
          <t>Suma para contexto energético</t>
        </is>
      </c>
    </row>
    <row r="24" ht="20" customHeight="1">
      <c r="A24" s="4" t="inlineStr">
        <is>
          <t>% autogeneración sobre consumo total</t>
        </is>
      </c>
      <c r="B24" s="5" t="n"/>
      <c r="D24" s="33" t="inlineStr">
        <is>
          <t>Calc: autogen / (red + autogen)</t>
        </is>
      </c>
    </row>
    <row r="26">
      <c r="A26" s="38" t="inlineStr">
        <is>
          <t>NOTA: Adjuntar copia de las 12 facturas eléctricas al expediente del inventario (requisito ISO 14064). Si no se dispone de medidor separado para carga de red, solicitar a la distribuidora histórico de consumo. Usar enfoque de market-based si se tiene contrato de energía renovable certificada (GO/REC).</t>
        </is>
      </c>
    </row>
  </sheetData>
  <mergeCells count="14">
    <mergeCell ref="A1:J1"/>
    <mergeCell ref="B21:C21"/>
    <mergeCell ref="D22:J22"/>
    <mergeCell ref="B24:C24"/>
    <mergeCell ref="A2:J2"/>
    <mergeCell ref="D23:J23"/>
    <mergeCell ref="D21:J21"/>
    <mergeCell ref="B23:C23"/>
    <mergeCell ref="B22:C22"/>
    <mergeCell ref="D17:F17"/>
    <mergeCell ref="D24:J24"/>
    <mergeCell ref="A26:J26"/>
    <mergeCell ref="A17:B17"/>
    <mergeCell ref="A19:J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75623"/>
    <outlinePr summaryBelow="1" summaryRight="1"/>
    <pageSetUpPr/>
  </sheetPr>
  <dimension ref="A1:L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10" customWidth="1" min="4" max="4"/>
    <col width="14" customWidth="1" min="5" max="5"/>
    <col width="16" customWidth="1" min="6" max="6"/>
    <col width="12" customWidth="1" min="7" max="7"/>
    <col width="14" customWidth="1" min="8" max="8"/>
    <col width="14" customWidth="1" min="9" max="9"/>
    <col width="10" customWidth="1" min="10" max="10"/>
    <col width="14" customWidth="1" min="11" max="11"/>
    <col width="14" customWidth="1" min="12" max="12"/>
  </cols>
  <sheetData>
    <row r="1">
      <c r="A1" s="42" t="inlineStr">
        <is>
          <t>SUMIDEROS DE CARBONO  |  Monte Nativo + Pasturas</t>
        </is>
      </c>
    </row>
    <row r="2">
      <c r="A2" s="43" t="inlineStr">
        <is>
          <t>IPCC 2006 Vol.4 Cap.4/6  |  Valores negativos = capturas (CO2 removido de la atmósfera)  |  Tier 1: factores por defecto por bioma/región. Para Tier 2 se requiere inventario forestal.</t>
        </is>
      </c>
    </row>
    <row r="3">
      <c r="A3" s="44" t="inlineStr">
        <is>
          <t>SECCIÓN A — MONTE NATIVO / VEGETACIÓN PERENNE</t>
        </is>
      </c>
    </row>
    <row r="4">
      <c r="A4" s="45" t="inlineStr">
        <is>
          <t>Unidad de
Vegetación</t>
        </is>
      </c>
      <c r="B4" s="45" t="inlineStr">
        <is>
          <t>Tipo de
Formación</t>
        </is>
      </c>
      <c r="C4" s="45" t="inlineStr">
        <is>
          <t>Superficie
(ha)
[INGRESAR]</t>
        </is>
      </c>
      <c r="D4" s="45" t="inlineStr">
        <is>
          <t>Estado de
Conservación
[INGRESAR]</t>
        </is>
      </c>
      <c r="E4" s="45" t="inlineStr">
        <is>
          <t>Categoría
Ordenamiento
Territorial
(Ley 26.331)</t>
        </is>
      </c>
      <c r="F4" s="45" t="inlineStr">
        <is>
          <t>Biomasa
aérea
actual
(t MS/ha)
[INGRESAR]</t>
        </is>
      </c>
      <c r="G4" s="45" t="inlineStr">
        <is>
          <t>Factor de
Captura
Tier 1
(tCO2e/ha/año)</t>
        </is>
      </c>
      <c r="H4" s="45" t="inlineStr">
        <is>
          <t>Captura
neta
(tCO2e/año)
[CALC]</t>
        </is>
      </c>
      <c r="I4" s="45" t="inlineStr">
        <is>
          <t>¿Hay
deforest.?
[INGRESAR]</t>
        </is>
      </c>
      <c r="J4" s="45" t="inlineStr">
        <is>
          <t>ha
deforest.
este año
[INGRESAR]</t>
        </is>
      </c>
      <c r="K4" s="45" t="inlineStr">
        <is>
          <t>Emisión
deforest.
(tCO2e)
[CALC]</t>
        </is>
      </c>
      <c r="L4" s="45" t="inlineStr">
        <is>
          <t>Neto
(tCO2e/año)
[CALC]</t>
        </is>
      </c>
    </row>
    <row r="5" ht="22" customHeight="1">
      <c r="A5" s="35" t="inlineStr">
        <is>
          <t>Bosque nativo sector Norte</t>
        </is>
      </c>
      <c r="B5" s="27" t="inlineStr">
        <is>
          <t>Bosque chaqueño / serrano</t>
        </is>
      </c>
      <c r="C5" s="5" t="n"/>
      <c r="D5" s="5" t="n"/>
      <c r="E5" s="27" t="inlineStr">
        <is>
          <t>Rojo / Amarillo</t>
        </is>
      </c>
      <c r="F5" s="5" t="n"/>
      <c r="G5" s="8" t="n">
        <v>3.2</v>
      </c>
      <c r="H5" s="28">
        <f>-C5*G5</f>
        <v/>
      </c>
      <c r="I5" s="5" t="inlineStr">
        <is>
          <t>No</t>
        </is>
      </c>
      <c r="J5" s="5" t="n"/>
      <c r="K5" s="28">
        <f>J5*G5*3.67</f>
        <v/>
      </c>
      <c r="L5" s="28">
        <f>H5+K5</f>
        <v/>
      </c>
    </row>
    <row r="6" ht="22" customHeight="1">
      <c r="A6" s="36" t="inlineStr">
        <is>
          <t>Bosque nativo sector Sur</t>
        </is>
      </c>
      <c r="B6" s="30" t="inlineStr">
        <is>
          <t>Bosque chaqueño / serrano</t>
        </is>
      </c>
      <c r="C6" s="5" t="n"/>
      <c r="D6" s="5" t="n"/>
      <c r="E6" s="30" t="inlineStr">
        <is>
          <t>Rojo / Amarillo</t>
        </is>
      </c>
      <c r="F6" s="5" t="n"/>
      <c r="G6" s="8" t="n">
        <v>3.2</v>
      </c>
      <c r="H6" s="28">
        <f>-C6*G6</f>
        <v/>
      </c>
      <c r="I6" s="5" t="inlineStr">
        <is>
          <t>No</t>
        </is>
      </c>
      <c r="J6" s="5" t="n"/>
      <c r="K6" s="28">
        <f>J6*G6*3.67</f>
        <v/>
      </c>
      <c r="L6" s="28">
        <f>H6+K6</f>
        <v/>
      </c>
    </row>
    <row r="7" ht="22" customHeight="1">
      <c r="A7" s="35" t="inlineStr">
        <is>
          <t>Monte ribereño / galería</t>
        </is>
      </c>
      <c r="B7" s="27" t="inlineStr">
        <is>
          <t>Bosque ribereño</t>
        </is>
      </c>
      <c r="C7" s="5" t="n"/>
      <c r="D7" s="5" t="n"/>
      <c r="E7" s="27" t="inlineStr">
        <is>
          <t>Rojo</t>
        </is>
      </c>
      <c r="F7" s="5" t="n"/>
      <c r="G7" s="8" t="n">
        <v>4.5</v>
      </c>
      <c r="H7" s="28">
        <f>-C7*G7</f>
        <v/>
      </c>
      <c r="I7" s="5" t="inlineStr">
        <is>
          <t>No</t>
        </is>
      </c>
      <c r="J7" s="5" t="n"/>
      <c r="K7" s="28">
        <f>J7*G7*3.67</f>
        <v/>
      </c>
      <c r="L7" s="28">
        <f>H7+K7</f>
        <v/>
      </c>
    </row>
    <row r="8" ht="22" customHeight="1">
      <c r="A8" s="36" t="inlineStr">
        <is>
          <t>Arbustales / malezales</t>
        </is>
      </c>
      <c r="B8" s="30" t="inlineStr">
        <is>
          <t>Matorral xerófilo</t>
        </is>
      </c>
      <c r="C8" s="5" t="n"/>
      <c r="D8" s="5" t="n"/>
      <c r="E8" s="30" t="inlineStr">
        <is>
          <t>Amarillo</t>
        </is>
      </c>
      <c r="F8" s="5" t="n"/>
      <c r="G8" s="8" t="n">
        <v>1.5</v>
      </c>
      <c r="H8" s="28">
        <f>-C8*G8</f>
        <v/>
      </c>
      <c r="I8" s="5" t="inlineStr">
        <is>
          <t>No</t>
        </is>
      </c>
      <c r="J8" s="5" t="n"/>
      <c r="K8" s="28">
        <f>J8*G8*3.67</f>
        <v/>
      </c>
      <c r="L8" s="28">
        <f>H8+K8</f>
        <v/>
      </c>
    </row>
    <row r="9">
      <c r="A9" s="10" t="inlineStr">
        <is>
          <t>SUBTOTAL MONTE NATIVO</t>
        </is>
      </c>
      <c r="H9" s="28">
        <f>SUM(H5:H8)</f>
        <v/>
      </c>
      <c r="K9" s="28">
        <f>SUM(K5:K8)</f>
        <v/>
      </c>
      <c r="L9" s="28">
        <f>SUM(L5:L8)</f>
        <v/>
      </c>
    </row>
    <row r="11">
      <c r="A11" s="44" t="inlineStr">
        <is>
          <t>SECCIÓN B — PASTURAS IMPLANTADAS Y SUELO BAJO AGRICULTURA</t>
        </is>
      </c>
    </row>
    <row r="12">
      <c r="A12" s="45" t="inlineStr">
        <is>
          <t>Tipo de Pastura /
Cultivo de Cobertura</t>
        </is>
      </c>
      <c r="B12" s="45" t="inlineStr">
        <is>
          <t>Manejo</t>
        </is>
      </c>
      <c r="C12" s="45" t="inlineStr">
        <is>
          <t>Superficie
(ha)
[INGRESAR]</t>
        </is>
      </c>
      <c r="D12" s="45" t="inlineStr">
        <is>
          <t>Años de
establecida
[INGRESAR]</t>
        </is>
      </c>
      <c r="E12" s="45" t="inlineStr">
        <is>
          <t>Estado
Masomenos
[INGRESAR]</t>
        </is>
      </c>
      <c r="F12" s="45" t="inlineStr">
        <is>
          <t>Labranza
predominante
[INGRESAR]</t>
        </is>
      </c>
      <c r="G12" s="45" t="inlineStr">
        <is>
          <t>FE Stock C
suelo
(tCO2e/ha/año)
[Tier1]</t>
        </is>
      </c>
      <c r="H12" s="45" t="inlineStr">
        <is>
          <t>Captura
neta
(tCO2e/año)
[CALC]</t>
        </is>
      </c>
      <c r="I12" s="45" t="inlineStr">
        <is>
          <t>Observaciones</t>
        </is>
      </c>
      <c r="J12" s="45" t="inlineStr"/>
      <c r="K12" s="45" t="inlineStr"/>
      <c r="L12" s="45" t="inlineStr"/>
    </row>
    <row r="13" ht="22" customHeight="1">
      <c r="A13" s="35" t="inlineStr">
        <is>
          <t>Pasturas implantadas perennes</t>
        </is>
      </c>
      <c r="B13" s="27" t="inlineStr">
        <is>
          <t>Pastoreo rotativo</t>
        </is>
      </c>
      <c r="C13" s="5" t="n"/>
      <c r="D13" s="5" t="n"/>
      <c r="E13" s="5" t="n"/>
      <c r="F13" s="5" t="inlineStr">
        <is>
          <t>Sin labranza</t>
        </is>
      </c>
      <c r="G13" s="8" t="n">
        <v>0.5</v>
      </c>
      <c r="H13" s="28">
        <f>-C13*G13</f>
        <v/>
      </c>
      <c r="I13" s="5" t="n"/>
    </row>
    <row r="14" ht="22" customHeight="1">
      <c r="A14" s="36" t="inlineStr">
        <is>
          <t>Pasturas anuales / verdeos</t>
        </is>
      </c>
      <c r="B14" s="30" t="inlineStr">
        <is>
          <t>Pastoreo continuo</t>
        </is>
      </c>
      <c r="C14" s="5" t="n"/>
      <c r="D14" s="5" t="n"/>
      <c r="E14" s="5" t="n"/>
      <c r="F14" s="5" t="inlineStr">
        <is>
          <t>Siembra directa</t>
        </is>
      </c>
      <c r="G14" s="8" t="n">
        <v>0.2</v>
      </c>
      <c r="H14" s="28">
        <f>-C14*G14</f>
        <v/>
      </c>
      <c r="I14" s="5" t="n"/>
    </row>
    <row r="15" ht="22" customHeight="1">
      <c r="A15" s="35" t="inlineStr">
        <is>
          <t>Cultivos anuales (soja/maíz/trigo)</t>
        </is>
      </c>
      <c r="B15" s="27" t="inlineStr">
        <is>
          <t>Agricultura</t>
        </is>
      </c>
      <c r="C15" s="5" t="n"/>
      <c r="D15" s="5" t="n"/>
      <c r="E15" s="5" t="n"/>
      <c r="F15" s="5" t="inlineStr">
        <is>
          <t>Siembra directa</t>
        </is>
      </c>
      <c r="G15" s="8" t="n">
        <v>0.3</v>
      </c>
      <c r="H15" s="28">
        <f>-C15*G15</f>
        <v/>
      </c>
      <c r="I15" s="5" t="n"/>
    </row>
    <row r="16" ht="22" customHeight="1">
      <c r="A16" s="36" t="inlineStr">
        <is>
          <t>Rastrojos incorporados</t>
        </is>
      </c>
      <c r="B16" s="30" t="inlineStr">
        <is>
          <t>Cobertura</t>
        </is>
      </c>
      <c r="C16" s="5" t="n"/>
      <c r="D16" s="5" t="n"/>
      <c r="E16" s="5" t="n"/>
      <c r="F16" s="5" t="inlineStr">
        <is>
          <t>SD / Mín. labranza</t>
        </is>
      </c>
      <c r="G16" s="8" t="n">
        <v>0.15</v>
      </c>
      <c r="H16" s="28">
        <f>-C16*G16</f>
        <v/>
      </c>
      <c r="I16" s="5" t="n"/>
    </row>
    <row r="17">
      <c r="A17" s="10" t="inlineStr">
        <is>
          <t>SUBTOTAL PASTURAS Y SUELOS</t>
        </is>
      </c>
      <c r="H17" s="28">
        <f>SUM(H13:H16)</f>
        <v/>
      </c>
    </row>
    <row r="19">
      <c r="A19" s="46" t="inlineStr">
        <is>
          <t>TOTAL SUMIDEROS (Monte + Pasturas)</t>
        </is>
      </c>
      <c r="H19" s="28">
        <f>H9+H17</f>
        <v/>
      </c>
      <c r="L19" s="28">
        <f>L9</f>
        <v/>
      </c>
    </row>
    <row r="21">
      <c r="A21" s="47" t="inlineStr">
        <is>
          <t>NOTA: Valores NEGATIVOS = capturas netas (el establecimiento absorbe CO2). Valores POSITIVOS = fuentes. Para inventario forestal verificado (VCS/Carbono Neutro) se requiere medición in situ (Tier 2/3). Factor de deforestación: 3,67 = relación masa molar CO2/C. Ley 26.331: bosques Rojo = no modificar; Amarillo = uso sostenible; Verde = aprovechamiento permitido. Los pastizales de siembra directa con más de 5 años tienden a ser sumideros netos.</t>
        </is>
      </c>
    </row>
  </sheetData>
  <mergeCells count="12">
    <mergeCell ref="I13:L13"/>
    <mergeCell ref="A2:L2"/>
    <mergeCell ref="I14:L14"/>
    <mergeCell ref="A19:F19"/>
    <mergeCell ref="A11:L11"/>
    <mergeCell ref="A1:L1"/>
    <mergeCell ref="A9:F9"/>
    <mergeCell ref="I16:L16"/>
    <mergeCell ref="A17:F17"/>
    <mergeCell ref="I15:L15"/>
    <mergeCell ref="A3:L3"/>
    <mergeCell ref="A21:L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8" customWidth="1" min="4" max="4"/>
    <col width="14" customWidth="1" min="5" max="5"/>
    <col width="14" customWidth="1" min="6" max="6"/>
    <col width="20" customWidth="1" min="7" max="7"/>
    <col width="20" customWidth="1" min="8" max="8"/>
  </cols>
  <sheetData>
    <row r="1">
      <c r="A1" s="48" t="inlineStr">
        <is>
          <t>TABLA DE FACTORES DE EMISIÓN DE REFERENCIA</t>
        </is>
      </c>
    </row>
    <row r="2">
      <c r="A2" s="49" t="inlineStr">
        <is>
          <t>Fuentes: IPCC 2006 | GHG Protocol | CAMMESA 2023 | AR6 IPCC 2021 — NO modificar esta hoja. Solo lectura.</t>
        </is>
      </c>
    </row>
    <row r="4" ht="22" customHeight="1">
      <c r="A4" s="50" t="inlineStr">
        <is>
          <t>COMBUSTIBLES</t>
        </is>
      </c>
    </row>
    <row r="5">
      <c r="A5" s="51" t="inlineStr">
        <is>
          <t>Gas / Fuente</t>
        </is>
      </c>
      <c r="B5" s="51" t="inlineStr">
        <is>
          <t>Aplicación</t>
        </is>
      </c>
      <c r="C5" s="51" t="inlineStr">
        <is>
          <t>Unidad</t>
        </is>
      </c>
      <c r="D5" s="51" t="inlineStr">
        <is>
          <t>FE CO2 (kg CO2/unidad)</t>
        </is>
      </c>
      <c r="E5" s="51" t="inlineStr">
        <is>
          <t>FE CH4 (g/unidad)</t>
        </is>
      </c>
      <c r="F5" s="51" t="inlineStr">
        <is>
          <t>FE N2O (g/unidad)</t>
        </is>
      </c>
      <c r="G5" s="51" t="inlineStr">
        <is>
          <t>Fuente</t>
        </is>
      </c>
      <c r="H5" s="19" t="n"/>
    </row>
    <row r="6" ht="18" customHeight="1">
      <c r="A6" s="35" t="inlineStr">
        <is>
          <t>Gasoil / Diésel</t>
        </is>
      </c>
      <c r="B6" s="26" t="inlineStr">
        <is>
          <t>Combustión móvil y estacionaria</t>
        </is>
      </c>
      <c r="C6" s="26" t="inlineStr">
        <is>
          <t>L</t>
        </is>
      </c>
      <c r="D6" s="8" t="inlineStr">
        <is>
          <t>2,701</t>
        </is>
      </c>
      <c r="E6" s="8" t="inlineStr">
        <is>
          <t>0,100</t>
        </is>
      </c>
      <c r="F6" s="8" t="inlineStr">
        <is>
          <t>0,600</t>
        </is>
      </c>
      <c r="G6" s="52" t="inlineStr">
        <is>
          <t>IPCC 2006 Tabla 1.4</t>
        </is>
      </c>
    </row>
    <row r="7" ht="18" customHeight="1">
      <c r="A7" s="36" t="inlineStr">
        <is>
          <t>GLP / Propano (Zeppelin)</t>
        </is>
      </c>
      <c r="B7" s="29" t="inlineStr">
        <is>
          <t>Combustión estacionaria</t>
        </is>
      </c>
      <c r="C7" s="29" t="inlineStr">
        <is>
          <t>kg</t>
        </is>
      </c>
      <c r="D7" s="8" t="inlineStr">
        <is>
          <t>2,983</t>
        </is>
      </c>
      <c r="E7" s="8" t="inlineStr">
        <is>
          <t>0,010</t>
        </is>
      </c>
      <c r="F7" s="8" t="inlineStr">
        <is>
          <t>0,100</t>
        </is>
      </c>
      <c r="G7" s="52" t="inlineStr">
        <is>
          <t>IPCC 2006 Tabla 1.4</t>
        </is>
      </c>
    </row>
    <row r="8" ht="18" customHeight="1">
      <c r="A8" s="35" t="inlineStr">
        <is>
          <t>Propano líquido</t>
        </is>
      </c>
      <c r="B8" s="26" t="inlineStr">
        <is>
          <t>Combustión estacionaria</t>
        </is>
      </c>
      <c r="C8" s="26" t="inlineStr">
        <is>
          <t>L</t>
        </is>
      </c>
      <c r="D8" s="8" t="inlineStr">
        <is>
          <t>1,534</t>
        </is>
      </c>
      <c r="E8" s="8" t="inlineStr">
        <is>
          <t>0,010</t>
        </is>
      </c>
      <c r="F8" s="8" t="inlineStr">
        <is>
          <t>0,100</t>
        </is>
      </c>
      <c r="G8" s="52" t="inlineStr">
        <is>
          <t>IPCC 2006 Tabla 1.4</t>
        </is>
      </c>
    </row>
    <row r="9" ht="18" customHeight="1">
      <c r="A9" s="36" t="inlineStr">
        <is>
          <t>Gasolina / Nafta</t>
        </is>
      </c>
      <c r="B9" s="29" t="inlineStr">
        <is>
          <t>Combustión móvil</t>
        </is>
      </c>
      <c r="C9" s="29" t="inlineStr">
        <is>
          <t>L</t>
        </is>
      </c>
      <c r="D9" s="8" t="inlineStr">
        <is>
          <t>2,296</t>
        </is>
      </c>
      <c r="E9" s="8" t="inlineStr">
        <is>
          <t>0,100</t>
        </is>
      </c>
      <c r="F9" s="8" t="inlineStr">
        <is>
          <t>0,600</t>
        </is>
      </c>
      <c r="G9" s="52" t="inlineStr">
        <is>
          <t>IPCC 2006 Tabla 1.4</t>
        </is>
      </c>
    </row>
    <row r="10" ht="18" customHeight="1">
      <c r="A10" s="35" t="inlineStr">
        <is>
          <t>Gas natural</t>
        </is>
      </c>
      <c r="B10" s="26" t="inlineStr">
        <is>
          <t>Combustión estacionaria</t>
        </is>
      </c>
      <c r="C10" s="26" t="inlineStr">
        <is>
          <t>m³</t>
        </is>
      </c>
      <c r="D10" s="8" t="inlineStr">
        <is>
          <t>1,879</t>
        </is>
      </c>
      <c r="E10" s="8" t="inlineStr">
        <is>
          <t>0,005</t>
        </is>
      </c>
      <c r="F10" s="8" t="inlineStr">
        <is>
          <t>0,010</t>
        </is>
      </c>
      <c r="G10" s="52" t="inlineStr">
        <is>
          <t>IPCC 2006 Tabla 1.4</t>
        </is>
      </c>
    </row>
    <row r="12" ht="22" customHeight="1">
      <c r="A12" s="50" t="inlineStr">
        <is>
          <t>ELECTRICIDAD</t>
        </is>
      </c>
    </row>
    <row r="13">
      <c r="A13" s="51" t="inlineStr">
        <is>
          <t>Gas / Fuente</t>
        </is>
      </c>
      <c r="B13" s="51" t="inlineStr">
        <is>
          <t>Aplicación</t>
        </is>
      </c>
      <c r="C13" s="51" t="inlineStr">
        <is>
          <t>Unidad</t>
        </is>
      </c>
      <c r="D13" s="51" t="inlineStr">
        <is>
          <t>FE CO2 (kg CO2/unidad)</t>
        </is>
      </c>
      <c r="E13" s="51" t="inlineStr">
        <is>
          <t>FE CH4 (g/unidad)</t>
        </is>
      </c>
      <c r="F13" s="51" t="inlineStr">
        <is>
          <t>FE N2O (g/unidad)</t>
        </is>
      </c>
      <c r="G13" s="51" t="inlineStr">
        <is>
          <t>Fuente</t>
        </is>
      </c>
      <c r="H13" s="19" t="n"/>
    </row>
    <row r="14" ht="18" customHeight="1">
      <c r="A14" s="35" t="inlineStr">
        <is>
          <t>Red eléctrica Argentina (CAMMESA 2023)</t>
        </is>
      </c>
      <c r="B14" s="26" t="inlineStr">
        <is>
          <t>Scope 2 — factor de emisión localización</t>
        </is>
      </c>
      <c r="C14" s="26" t="inlineStr">
        <is>
          <t>kWh</t>
        </is>
      </c>
      <c r="D14" s="8" t="inlineStr">
        <is>
          <t>0,383</t>
        </is>
      </c>
      <c r="E14" s="8" t="inlineStr">
        <is>
          <t>—</t>
        </is>
      </c>
      <c r="F14" s="8" t="inlineStr">
        <is>
          <t>—</t>
        </is>
      </c>
      <c r="G14" s="52" t="inlineStr">
        <is>
          <t>CAMMESA — Factor de Emisión 2023</t>
        </is>
      </c>
    </row>
    <row r="15" ht="18" customHeight="1">
      <c r="A15" s="36" t="inlineStr">
        <is>
          <t>Red eléctrica Argentina (CAMMESA 2022)</t>
        </is>
      </c>
      <c r="B15" s="29" t="inlineStr">
        <is>
          <t>Referencia histórica</t>
        </is>
      </c>
      <c r="C15" s="29" t="inlineStr">
        <is>
          <t>kWh</t>
        </is>
      </c>
      <c r="D15" s="8" t="inlineStr">
        <is>
          <t>0,404</t>
        </is>
      </c>
      <c r="E15" s="8" t="inlineStr">
        <is>
          <t>—</t>
        </is>
      </c>
      <c r="F15" s="8" t="inlineStr">
        <is>
          <t>—</t>
        </is>
      </c>
      <c r="G15" s="52" t="inlineStr">
        <is>
          <t>CAMMESA — Factor de Emisión 2022</t>
        </is>
      </c>
    </row>
    <row r="17" ht="22" customHeight="1">
      <c r="A17" s="50" t="inlineStr">
        <is>
          <t>GANADERÍA — FERMENTACIÓN ENTÉRICA (Tier 1, clima templado)</t>
        </is>
      </c>
    </row>
    <row r="18">
      <c r="A18" s="51" t="inlineStr">
        <is>
          <t>Gas / Fuente</t>
        </is>
      </c>
      <c r="B18" s="51" t="inlineStr">
        <is>
          <t>Aplicación</t>
        </is>
      </c>
      <c r="C18" s="51" t="inlineStr">
        <is>
          <t>Unidad</t>
        </is>
      </c>
      <c r="D18" s="51" t="inlineStr">
        <is>
          <t>FE CO2 (kg CO2/unidad)</t>
        </is>
      </c>
      <c r="E18" s="51" t="inlineStr">
        <is>
          <t>FE CH4 (g/unidad)</t>
        </is>
      </c>
      <c r="F18" s="51" t="inlineStr">
        <is>
          <t>FE N2O (g/unidad)</t>
        </is>
      </c>
      <c r="G18" s="51" t="inlineStr">
        <is>
          <t>Fuente</t>
        </is>
      </c>
      <c r="H18" s="19" t="n"/>
    </row>
    <row r="19" ht="18" customHeight="1">
      <c r="A19" s="35" t="inlineStr">
        <is>
          <t>Vacas lecheras (&gt;200 L/día producción)</t>
        </is>
      </c>
      <c r="B19" s="26" t="inlineStr">
        <is>
          <t>Fermentación entérica</t>
        </is>
      </c>
      <c r="C19" s="26" t="inlineStr">
        <is>
          <t>cab/año</t>
        </is>
      </c>
      <c r="D19" s="8" t="inlineStr">
        <is>
          <t>119,8 kg CH4</t>
        </is>
      </c>
      <c r="E19" s="8" t="inlineStr">
        <is>
          <t>—</t>
        </is>
      </c>
      <c r="F19" s="8" t="inlineStr">
        <is>
          <t>—</t>
        </is>
      </c>
      <c r="G19" s="52" t="inlineStr">
        <is>
          <t>IPCC 2006 Tabla 10-11</t>
        </is>
      </c>
    </row>
    <row r="20" ht="18" customHeight="1">
      <c r="A20" s="36" t="inlineStr">
        <is>
          <t>Bovinos adultos carne (&gt;300 kg)</t>
        </is>
      </c>
      <c r="B20" s="29" t="inlineStr">
        <is>
          <t>Fermentación entérica</t>
        </is>
      </c>
      <c r="C20" s="29" t="inlineStr">
        <is>
          <t>cab/año</t>
        </is>
      </c>
      <c r="D20" s="8" t="inlineStr">
        <is>
          <t>56,5 kg CH4</t>
        </is>
      </c>
      <c r="E20" s="8" t="inlineStr">
        <is>
          <t>—</t>
        </is>
      </c>
      <c r="F20" s="8" t="inlineStr">
        <is>
          <t>—</t>
        </is>
      </c>
      <c r="G20" s="52" t="inlineStr">
        <is>
          <t>IPCC 2006 Tabla 10-11</t>
        </is>
      </c>
    </row>
    <row r="21" ht="18" customHeight="1">
      <c r="A21" s="35" t="inlineStr">
        <is>
          <t>Novillo / vaquillona recría (200-300 kg)</t>
        </is>
      </c>
      <c r="B21" s="26" t="inlineStr">
        <is>
          <t>Fermentación entérica</t>
        </is>
      </c>
      <c r="C21" s="26" t="inlineStr">
        <is>
          <t>cab/año</t>
        </is>
      </c>
      <c r="D21" s="8" t="inlineStr">
        <is>
          <t>47,8 kg CH4</t>
        </is>
      </c>
      <c r="E21" s="8" t="inlineStr">
        <is>
          <t>—</t>
        </is>
      </c>
      <c r="F21" s="8" t="inlineStr">
        <is>
          <t>—</t>
        </is>
      </c>
      <c r="G21" s="52" t="inlineStr">
        <is>
          <t>IPCC 2006 Tabla 10-11</t>
        </is>
      </c>
    </row>
    <row r="22" ht="18" customHeight="1">
      <c r="A22" s="36" t="inlineStr">
        <is>
          <t>Terneros &lt; 1 año</t>
        </is>
      </c>
      <c r="B22" s="29" t="inlineStr">
        <is>
          <t>Fermentación entérica</t>
        </is>
      </c>
      <c r="C22" s="29" t="inlineStr">
        <is>
          <t>cab/año</t>
        </is>
      </c>
      <c r="D22" s="8" t="inlineStr">
        <is>
          <t>27,0 kg CH4</t>
        </is>
      </c>
      <c r="E22" s="8" t="inlineStr">
        <is>
          <t>—</t>
        </is>
      </c>
      <c r="F22" s="8" t="inlineStr">
        <is>
          <t>—</t>
        </is>
      </c>
      <c r="G22" s="52" t="inlineStr">
        <is>
          <t>IPCC 2006 Tabla 10-11</t>
        </is>
      </c>
    </row>
    <row r="23" ht="18" customHeight="1">
      <c r="A23" s="35" t="inlineStr">
        <is>
          <t>Toros reproductores</t>
        </is>
      </c>
      <c r="B23" s="26" t="inlineStr">
        <is>
          <t>Fermentación entérica</t>
        </is>
      </c>
      <c r="C23" s="26" t="inlineStr">
        <is>
          <t>cab/año</t>
        </is>
      </c>
      <c r="D23" s="8" t="inlineStr">
        <is>
          <t>73,0 kg CH4</t>
        </is>
      </c>
      <c r="E23" s="8" t="inlineStr">
        <is>
          <t>—</t>
        </is>
      </c>
      <c r="F23" s="8" t="inlineStr">
        <is>
          <t>—</t>
        </is>
      </c>
      <c r="G23" s="52" t="inlineStr">
        <is>
          <t>IPCC 2006 Tabla 10-11</t>
        </is>
      </c>
    </row>
    <row r="24" ht="18" customHeight="1">
      <c r="A24" s="36" t="inlineStr">
        <is>
          <t>Ovinos (adultos)</t>
        </is>
      </c>
      <c r="B24" s="29" t="inlineStr">
        <is>
          <t>Fermentación entérica</t>
        </is>
      </c>
      <c r="C24" s="29" t="inlineStr">
        <is>
          <t>cab/año</t>
        </is>
      </c>
      <c r="D24" s="8" t="inlineStr">
        <is>
          <t>8,0 kg CH4</t>
        </is>
      </c>
      <c r="E24" s="8" t="inlineStr">
        <is>
          <t>—</t>
        </is>
      </c>
      <c r="F24" s="8" t="inlineStr">
        <is>
          <t>—</t>
        </is>
      </c>
      <c r="G24" s="52" t="inlineStr">
        <is>
          <t>IPCC 2006 Tabla 10-11</t>
        </is>
      </c>
    </row>
    <row r="26" ht="22" customHeight="1">
      <c r="A26" s="50" t="inlineStr">
        <is>
          <t>GANADERÍA — GESTIÓN DE ESTIÉRCOL (Tier 1)</t>
        </is>
      </c>
    </row>
    <row r="27">
      <c r="A27" s="51" t="inlineStr">
        <is>
          <t>Gas / Fuente</t>
        </is>
      </c>
      <c r="B27" s="51" t="inlineStr">
        <is>
          <t>Aplicación</t>
        </is>
      </c>
      <c r="C27" s="51" t="inlineStr">
        <is>
          <t>Unidad</t>
        </is>
      </c>
      <c r="D27" s="51" t="inlineStr">
        <is>
          <t>FE CO2 (kg CO2/unidad)</t>
        </is>
      </c>
      <c r="E27" s="51" t="inlineStr">
        <is>
          <t>FE CH4 (g/unidad)</t>
        </is>
      </c>
      <c r="F27" s="51" t="inlineStr">
        <is>
          <t>FE N2O (g/unidad)</t>
        </is>
      </c>
      <c r="G27" s="51" t="inlineStr">
        <is>
          <t>Fuente</t>
        </is>
      </c>
      <c r="H27" s="19" t="n"/>
    </row>
    <row r="28" ht="18" customHeight="1">
      <c r="A28" s="35" t="inlineStr">
        <is>
          <t>Vacas lecheras — laguna anaeróbica</t>
        </is>
      </c>
      <c r="B28" s="26" t="inlineStr">
        <is>
          <t>CH4 estiércol</t>
        </is>
      </c>
      <c r="C28" s="26" t="inlineStr">
        <is>
          <t>cab/año</t>
        </is>
      </c>
      <c r="D28" s="8" t="inlineStr">
        <is>
          <t>16,0 kg CH4</t>
        </is>
      </c>
      <c r="E28" s="8" t="inlineStr">
        <is>
          <t>—</t>
        </is>
      </c>
      <c r="F28" s="8" t="inlineStr">
        <is>
          <t>0,10 kg N2O</t>
        </is>
      </c>
      <c r="G28" s="52" t="inlineStr">
        <is>
          <t>IPCC 2006 Tabla 10-14/15</t>
        </is>
      </c>
    </row>
    <row r="29" ht="18" customHeight="1">
      <c r="A29" s="36" t="inlineStr">
        <is>
          <t>Bovinos carne — almac. sólido/corral</t>
        </is>
      </c>
      <c r="B29" s="29" t="inlineStr">
        <is>
          <t>CH4 estiércol</t>
        </is>
      </c>
      <c r="C29" s="29" t="inlineStr">
        <is>
          <t>cab/año</t>
        </is>
      </c>
      <c r="D29" s="8" t="inlineStr">
        <is>
          <t>1,0 kg CH4</t>
        </is>
      </c>
      <c r="E29" s="8" t="inlineStr">
        <is>
          <t>—</t>
        </is>
      </c>
      <c r="F29" s="8" t="inlineStr">
        <is>
          <t>0,20 kg N2O</t>
        </is>
      </c>
      <c r="G29" s="52" t="inlineStr">
        <is>
          <t>IPCC 2006 Tabla 10-14/15</t>
        </is>
      </c>
    </row>
    <row r="30" ht="18" customHeight="1">
      <c r="A30" s="35" t="inlineStr">
        <is>
          <t>Bovinos — pastoreo directo</t>
        </is>
      </c>
      <c r="B30" s="26" t="inlineStr">
        <is>
          <t>CH4 estiércol</t>
        </is>
      </c>
      <c r="C30" s="26" t="inlineStr">
        <is>
          <t>cab/año</t>
        </is>
      </c>
      <c r="D30" s="8" t="inlineStr">
        <is>
          <t>1,0 kg CH4</t>
        </is>
      </c>
      <c r="E30" s="8" t="inlineStr">
        <is>
          <t>—</t>
        </is>
      </c>
      <c r="F30" s="8" t="inlineStr">
        <is>
          <t>0,07 kg N2O</t>
        </is>
      </c>
      <c r="G30" s="52" t="inlineStr">
        <is>
          <t>IPCC 2006 Tabla 10-14/15</t>
        </is>
      </c>
    </row>
    <row r="32" ht="22" customHeight="1">
      <c r="A32" s="50" t="inlineStr">
        <is>
          <t>SUELOS AGRÍCOLAS</t>
        </is>
      </c>
    </row>
    <row r="33">
      <c r="A33" s="51" t="inlineStr">
        <is>
          <t>Gas / Fuente</t>
        </is>
      </c>
      <c r="B33" s="51" t="inlineStr">
        <is>
          <t>Aplicación</t>
        </is>
      </c>
      <c r="C33" s="51" t="inlineStr">
        <is>
          <t>Unidad</t>
        </is>
      </c>
      <c r="D33" s="51" t="inlineStr">
        <is>
          <t>FE CO2 (kg CO2/unidad)</t>
        </is>
      </c>
      <c r="E33" s="51" t="inlineStr">
        <is>
          <t>FE CH4 (g/unidad)</t>
        </is>
      </c>
      <c r="F33" s="51" t="inlineStr">
        <is>
          <t>FE N2O (g/unidad)</t>
        </is>
      </c>
      <c r="G33" s="51" t="inlineStr">
        <is>
          <t>Fuente</t>
        </is>
      </c>
      <c r="H33" s="19" t="n"/>
    </row>
    <row r="34" ht="18" customHeight="1">
      <c r="A34" s="35" t="inlineStr">
        <is>
          <t>Fertilizante N (nitrogenado)</t>
        </is>
      </c>
      <c r="B34" s="26" t="inlineStr">
        <is>
          <t>N2O directo suelos EF1</t>
        </is>
      </c>
      <c r="C34" s="26" t="inlineStr">
        <is>
          <t>kg N aplic.</t>
        </is>
      </c>
      <c r="D34" s="8" t="inlineStr">
        <is>
          <t>0,01 kg N2O-N</t>
        </is>
      </c>
      <c r="E34" s="8" t="inlineStr">
        <is>
          <t>—</t>
        </is>
      </c>
      <c r="F34" s="8" t="inlineStr">
        <is>
          <t>—</t>
        </is>
      </c>
      <c r="G34" s="52" t="inlineStr">
        <is>
          <t>IPCC 2006 Tabla 11-1</t>
        </is>
      </c>
    </row>
    <row r="35" ht="18" customHeight="1">
      <c r="A35" s="36" t="inlineStr">
        <is>
          <t>Urea aplicada</t>
        </is>
      </c>
      <c r="B35" s="29" t="inlineStr">
        <is>
          <t>CO2 hidrólisis</t>
        </is>
      </c>
      <c r="C35" s="29" t="inlineStr">
        <is>
          <t>kg urea</t>
        </is>
      </c>
      <c r="D35" s="8" t="inlineStr">
        <is>
          <t>0,734 kg CO2</t>
        </is>
      </c>
      <c r="E35" s="8" t="inlineStr">
        <is>
          <t>—</t>
        </is>
      </c>
      <c r="F35" s="8" t="inlineStr">
        <is>
          <t>—</t>
        </is>
      </c>
      <c r="G35" s="52" t="inlineStr">
        <is>
          <t>IPCC 2006 Vol.4 Cap.11</t>
        </is>
      </c>
    </row>
    <row r="36" ht="18" customHeight="1">
      <c r="A36" s="35" t="inlineStr">
        <is>
          <t>Residuos de cultivos incorporados</t>
        </is>
      </c>
      <c r="B36" s="26" t="inlineStr">
        <is>
          <t>N2O indirecto</t>
        </is>
      </c>
      <c r="C36" s="26" t="inlineStr">
        <is>
          <t>kg N residuos</t>
        </is>
      </c>
      <c r="D36" s="8" t="inlineStr">
        <is>
          <t>0,01 kg N2O-N</t>
        </is>
      </c>
      <c r="E36" s="8" t="inlineStr">
        <is>
          <t>—</t>
        </is>
      </c>
      <c r="F36" s="8" t="inlineStr">
        <is>
          <t>—</t>
        </is>
      </c>
      <c r="G36" s="52" t="inlineStr">
        <is>
          <t>IPCC 2006 Tabla 11-1</t>
        </is>
      </c>
    </row>
    <row r="38" ht="22" customHeight="1">
      <c r="A38" s="50" t="inlineStr">
        <is>
          <t>POTENCIALES DE CALENTAMIENTO GLOBAL (AR6 — 100 años)</t>
        </is>
      </c>
    </row>
    <row r="39">
      <c r="A39" s="51" t="inlineStr">
        <is>
          <t>Gas / Fuente</t>
        </is>
      </c>
      <c r="B39" s="51" t="inlineStr">
        <is>
          <t>Aplicación</t>
        </is>
      </c>
      <c r="C39" s="51" t="inlineStr">
        <is>
          <t>Unidad</t>
        </is>
      </c>
      <c r="D39" s="51" t="inlineStr">
        <is>
          <t>FE CO2 (kg CO2/unidad)</t>
        </is>
      </c>
      <c r="E39" s="51" t="inlineStr">
        <is>
          <t>FE CH4 (g/unidad)</t>
        </is>
      </c>
      <c r="F39" s="51" t="inlineStr">
        <is>
          <t>FE N2O (g/unidad)</t>
        </is>
      </c>
      <c r="G39" s="51" t="inlineStr">
        <is>
          <t>Fuente</t>
        </is>
      </c>
      <c r="H39" s="19" t="n"/>
    </row>
    <row r="40" ht="18" customHeight="1">
      <c r="A40" s="35" t="inlineStr">
        <is>
          <t>CH4 (metano)</t>
        </is>
      </c>
      <c r="B40" s="26" t="inlineStr">
        <is>
          <t>GWP base CO2</t>
        </is>
      </c>
      <c r="C40" s="26" t="inlineStr">
        <is>
          <t>kg CH4</t>
        </is>
      </c>
      <c r="D40" s="8" t="inlineStr">
        <is>
          <t>29,8 kg CO2e</t>
        </is>
      </c>
      <c r="E40" s="8" t="inlineStr">
        <is>
          <t>—</t>
        </is>
      </c>
      <c r="F40" s="8" t="inlineStr">
        <is>
          <t>—</t>
        </is>
      </c>
      <c r="G40" s="52" t="inlineStr">
        <is>
          <t>IPCC AR6 2021 Tabla 7.SM.7</t>
        </is>
      </c>
    </row>
    <row r="41" ht="18" customHeight="1">
      <c r="A41" s="36" t="inlineStr">
        <is>
          <t>N2O (óxido nitroso)</t>
        </is>
      </c>
      <c r="B41" s="29" t="inlineStr">
        <is>
          <t>GWP base CO2</t>
        </is>
      </c>
      <c r="C41" s="29" t="inlineStr">
        <is>
          <t>kg N2O</t>
        </is>
      </c>
      <c r="D41" s="8" t="inlineStr">
        <is>
          <t>273 kg CO2e</t>
        </is>
      </c>
      <c r="E41" s="8" t="inlineStr">
        <is>
          <t>—</t>
        </is>
      </c>
      <c r="F41" s="8" t="inlineStr">
        <is>
          <t>—</t>
        </is>
      </c>
      <c r="G41" s="52" t="inlineStr">
        <is>
          <t>IPCC AR6 2021 Tabla 7.SM.7</t>
        </is>
      </c>
    </row>
    <row r="42" ht="18" customHeight="1">
      <c r="A42" s="35" t="inlineStr">
        <is>
          <t>CO2 (dióxido de carbono)</t>
        </is>
      </c>
      <c r="B42" s="26" t="inlineStr">
        <is>
          <t>GWP base CO2</t>
        </is>
      </c>
      <c r="C42" s="26" t="inlineStr">
        <is>
          <t>kg CO2</t>
        </is>
      </c>
      <c r="D42" s="8" t="inlineStr">
        <is>
          <t>1 kg CO2e</t>
        </is>
      </c>
      <c r="E42" s="8" t="inlineStr">
        <is>
          <t>—</t>
        </is>
      </c>
      <c r="F42" s="8" t="inlineStr">
        <is>
          <t>—</t>
        </is>
      </c>
      <c r="G42" s="52" t="inlineStr">
        <is>
          <t>Línea base</t>
        </is>
      </c>
    </row>
  </sheetData>
  <mergeCells count="36">
    <mergeCell ref="G21:H21"/>
    <mergeCell ref="G42:H42"/>
    <mergeCell ref="G27:H27"/>
    <mergeCell ref="G36:H36"/>
    <mergeCell ref="G23:H23"/>
    <mergeCell ref="A1:H1"/>
    <mergeCell ref="G8:H8"/>
    <mergeCell ref="G39:H39"/>
    <mergeCell ref="G7:H7"/>
    <mergeCell ref="G10:H10"/>
    <mergeCell ref="G19:H19"/>
    <mergeCell ref="G28:H28"/>
    <mergeCell ref="G6:H6"/>
    <mergeCell ref="G13:H13"/>
    <mergeCell ref="G18:H18"/>
    <mergeCell ref="A12:H12"/>
    <mergeCell ref="A26:H26"/>
    <mergeCell ref="G34:H34"/>
    <mergeCell ref="G24:H24"/>
    <mergeCell ref="G30:H30"/>
    <mergeCell ref="G15:H15"/>
    <mergeCell ref="A2:H2"/>
    <mergeCell ref="G33:H33"/>
    <mergeCell ref="G5:H5"/>
    <mergeCell ref="G14:H14"/>
    <mergeCell ref="A32:H32"/>
    <mergeCell ref="A17:H17"/>
    <mergeCell ref="G29:H29"/>
    <mergeCell ref="A4:H4"/>
    <mergeCell ref="G35:H35"/>
    <mergeCell ref="G20:H20"/>
    <mergeCell ref="A38:H38"/>
    <mergeCell ref="G41:H41"/>
    <mergeCell ref="G22:H22"/>
    <mergeCell ref="G40:H40"/>
    <mergeCell ref="G9:H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J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2" customWidth="1" min="10" max="10"/>
  </cols>
  <sheetData>
    <row r="1">
      <c r="A1" s="53" t="inlineStr">
        <is>
          <t>RESUMEN DEL INVENTARIO DE GASES DE EFECTO INVERNADERO  |  HUELLA DE CARBONO CORPORATIVA</t>
        </is>
      </c>
    </row>
    <row r="2">
      <c r="A2" s="49" t="inlineStr">
        <is>
          <t>Este resumen se actualiza automáticamente al completar las hojas de datos. Usar esta hoja como fuente del dashboard interactivo.</t>
        </is>
      </c>
    </row>
    <row r="4">
      <c r="A4" s="3" t="inlineStr">
        <is>
          <t>TABLA 1 — EMISIONES Y CAPTURAS POR CATEGORÍA</t>
        </is>
      </c>
    </row>
    <row r="5">
      <c r="A5" s="51" t="inlineStr">
        <is>
          <t>Código</t>
        </is>
      </c>
      <c r="B5" s="51" t="inlineStr">
        <is>
          <t>Categoría</t>
        </is>
      </c>
      <c r="C5" s="51" t="inlineStr">
        <is>
          <t>Scope</t>
        </is>
      </c>
      <c r="D5" s="51" t="inlineStr">
        <is>
          <t>CO2
(tCO2/año)</t>
        </is>
      </c>
      <c r="E5" s="51" t="inlineStr">
        <is>
          <t>CH4
(tCO2e/año)</t>
        </is>
      </c>
      <c r="F5" s="51" t="inlineStr">
        <is>
          <t>N2O
(tCO2e/año)</t>
        </is>
      </c>
      <c r="G5" s="51" t="inlineStr">
        <is>
          <t>TOTAL
tCO2e/año</t>
        </is>
      </c>
      <c r="H5" s="51" t="inlineStr">
        <is>
          <t>% del
total
emisiones</t>
        </is>
      </c>
      <c r="I5" s="51" t="inlineStr">
        <is>
          <t>Hoja de
Referencia</t>
        </is>
      </c>
      <c r="J5" s="51" t="inlineStr">
        <is>
          <t>Observaciones</t>
        </is>
      </c>
    </row>
    <row r="6" ht="22" customHeight="1">
      <c r="A6" s="16" t="inlineStr">
        <is>
          <t>S1-1</t>
        </is>
      </c>
      <c r="B6" s="54" t="inlineStr">
        <is>
          <t>Combustión Móvil (maquinaria)</t>
        </is>
      </c>
      <c r="C6" s="55" t="inlineStr">
        <is>
          <t>Scope 1</t>
        </is>
      </c>
      <c r="D6" s="28">
        <f>IFERROR('S1-1 MAQUINARIA'!O14,0)</f>
        <v/>
      </c>
      <c r="E6" s="56" t="inlineStr">
        <is>
          <t>ver hoja</t>
        </is>
      </c>
      <c r="F6" s="56" t="inlineStr">
        <is>
          <t>ver hoja</t>
        </is>
      </c>
      <c r="G6" s="28">
        <f>D6</f>
        <v/>
      </c>
      <c r="H6" s="28">
        <f>IFERROR(G6/G13*100,0)</f>
        <v/>
      </c>
      <c r="I6" s="57" t="inlineStr">
        <is>
          <t>S1-1 MAQUINARIA</t>
        </is>
      </c>
      <c r="J6" s="5" t="n"/>
    </row>
    <row r="7" ht="22" customHeight="1">
      <c r="A7" s="16" t="inlineStr">
        <is>
          <t>S1-2</t>
        </is>
      </c>
      <c r="B7" s="54" t="inlineStr">
        <is>
          <t>Combustión Estacionaria (gen. + zeppelin)</t>
        </is>
      </c>
      <c r="C7" s="55" t="inlineStr">
        <is>
          <t>Scope 1</t>
        </is>
      </c>
      <c r="D7" s="28">
        <f>IFERROR('S1-2 ENERGIA ESTAC'!L14,0)</f>
        <v/>
      </c>
      <c r="E7" s="56" t="inlineStr">
        <is>
          <t>ver hoja</t>
        </is>
      </c>
      <c r="F7" s="56" t="inlineStr">
        <is>
          <t>ver hoja</t>
        </is>
      </c>
      <c r="G7" s="28">
        <f>D7</f>
        <v/>
      </c>
      <c r="H7" s="28">
        <f>IFERROR(G7/G13*100,0)</f>
        <v/>
      </c>
      <c r="I7" s="57" t="inlineStr">
        <is>
          <t>S1-2 ENERGIA ESTAC</t>
        </is>
      </c>
      <c r="J7" s="5" t="n"/>
    </row>
    <row r="8" ht="22" customHeight="1">
      <c r="A8" s="16" t="inlineStr">
        <is>
          <t>S1-3</t>
        </is>
      </c>
      <c r="B8" s="54" t="inlineStr">
        <is>
          <t>Fermentación Entérica</t>
        </is>
      </c>
      <c r="C8" s="55" t="inlineStr">
        <is>
          <t>Scope 1</t>
        </is>
      </c>
      <c r="D8" s="28">
        <f>IFERROR('S1-3 GANADERIA'!I16,0)</f>
        <v/>
      </c>
      <c r="E8" s="56" t="inlineStr">
        <is>
          <t>ver hoja</t>
        </is>
      </c>
      <c r="F8" s="56" t="inlineStr">
        <is>
          <t>ver hoja</t>
        </is>
      </c>
      <c r="G8" s="28">
        <f>D8</f>
        <v/>
      </c>
      <c r="H8" s="28">
        <f>IFERROR(G8/G13*100,0)</f>
        <v/>
      </c>
      <c r="I8" s="57" t="inlineStr">
        <is>
          <t>S1-3 GANADERIA</t>
        </is>
      </c>
      <c r="J8" s="5" t="n"/>
    </row>
    <row r="9" ht="22" customHeight="1">
      <c r="A9" s="16" t="inlineStr">
        <is>
          <t>S1-4</t>
        </is>
      </c>
      <c r="B9" s="54" t="inlineStr">
        <is>
          <t>Gestión de Estiércol</t>
        </is>
      </c>
      <c r="C9" s="55" t="inlineStr">
        <is>
          <t>Scope 1</t>
        </is>
      </c>
      <c r="D9" s="28">
        <f>IFERROR('S1-3 GANADERIA'!M24,0)</f>
        <v/>
      </c>
      <c r="E9" s="56" t="inlineStr">
        <is>
          <t>ver hoja</t>
        </is>
      </c>
      <c r="F9" s="56" t="inlineStr">
        <is>
          <t>ver hoja</t>
        </is>
      </c>
      <c r="G9" s="28">
        <f>D9</f>
        <v/>
      </c>
      <c r="H9" s="28">
        <f>IFERROR(G9/G13*100,0)</f>
        <v/>
      </c>
      <c r="I9" s="57" t="inlineStr">
        <is>
          <t>S1-3 GANADERIA</t>
        </is>
      </c>
      <c r="J9" s="5" t="n"/>
    </row>
    <row r="10" ht="22" customHeight="1">
      <c r="A10" s="16" t="inlineStr">
        <is>
          <t>S1-5</t>
        </is>
      </c>
      <c r="B10" s="54" t="inlineStr">
        <is>
          <t>Suelos Agrícolas (N2O + CO2 urea)</t>
        </is>
      </c>
      <c r="C10" s="55" t="inlineStr">
        <is>
          <t>Scope 1</t>
        </is>
      </c>
      <c r="D10" s="28">
        <f>IFERROR('S1-4 SUELOS AGRICOLAS'!N14,0)</f>
        <v/>
      </c>
      <c r="E10" s="56" t="inlineStr">
        <is>
          <t>ver hoja</t>
        </is>
      </c>
      <c r="F10" s="56" t="inlineStr">
        <is>
          <t>ver hoja</t>
        </is>
      </c>
      <c r="G10" s="28">
        <f>D10</f>
        <v/>
      </c>
      <c r="H10" s="28">
        <f>IFERROR(G10/G13*100,0)</f>
        <v/>
      </c>
      <c r="I10" s="57" t="inlineStr">
        <is>
          <t>S1-4 SUELOS AGRICOLAS</t>
        </is>
      </c>
      <c r="J10" s="5" t="n"/>
    </row>
    <row r="11" ht="22" customHeight="1">
      <c r="A11" s="16" t="inlineStr">
        <is>
          <t>S1-6</t>
        </is>
      </c>
      <c r="B11" s="54" t="inlineStr">
        <is>
          <t>Efluentes (feedlot + tambo)</t>
        </is>
      </c>
      <c r="C11" s="55" t="inlineStr">
        <is>
          <t>Scope 1</t>
        </is>
      </c>
      <c r="D11" s="28">
        <f>IFERROR('S1-5 EFLUENTES'!L9,0)</f>
        <v/>
      </c>
      <c r="E11" s="56" t="inlineStr">
        <is>
          <t>ver hoja</t>
        </is>
      </c>
      <c r="F11" s="56" t="inlineStr">
        <is>
          <t>ver hoja</t>
        </is>
      </c>
      <c r="G11" s="28">
        <f>D11</f>
        <v/>
      </c>
      <c r="H11" s="28">
        <f>IFERROR(G11/G13*100,0)</f>
        <v/>
      </c>
      <c r="I11" s="57" t="inlineStr">
        <is>
          <t>S1-5 EFLUENTES</t>
        </is>
      </c>
      <c r="J11" s="5" t="n"/>
    </row>
    <row r="12" ht="22" customHeight="1">
      <c r="A12" s="20" t="inlineStr">
        <is>
          <t>S2-1</t>
        </is>
      </c>
      <c r="B12" s="58" t="inlineStr">
        <is>
          <t>Electricidad de Red</t>
        </is>
      </c>
      <c r="C12" s="59" t="inlineStr">
        <is>
          <t>Scope 2</t>
        </is>
      </c>
      <c r="D12" s="28">
        <f>IFERROR('S2-1 ELECTRICIDAD'!I17,0)</f>
        <v/>
      </c>
      <c r="E12" s="56" t="inlineStr">
        <is>
          <t>ver hoja</t>
        </is>
      </c>
      <c r="F12" s="56" t="inlineStr">
        <is>
          <t>ver hoja</t>
        </is>
      </c>
      <c r="G12" s="28">
        <f>D12</f>
        <v/>
      </c>
      <c r="H12" s="28">
        <f>IFERROR(G12/G13*100,0)</f>
        <v/>
      </c>
      <c r="I12" s="57" t="inlineStr">
        <is>
          <t>S2-1 ELECTRICIDAD</t>
        </is>
      </c>
      <c r="J12" s="5" t="n"/>
    </row>
    <row r="13" ht="24" customHeight="1">
      <c r="A13" s="16" t="inlineStr">
        <is>
          <t>SUBTOTAL EMISIONES (S1 + S2)</t>
        </is>
      </c>
      <c r="G13" s="28">
        <f>SUM(G6:G12)</f>
        <v/>
      </c>
    </row>
    <row r="15">
      <c r="A15" s="60" t="inlineStr">
        <is>
          <t>TABLA 2 — CAPTURAS (SUMIDEROS)</t>
        </is>
      </c>
    </row>
    <row r="16">
      <c r="A16" s="61" t="inlineStr">
        <is>
          <t>Código</t>
        </is>
      </c>
      <c r="B16" s="61" t="inlineStr">
        <is>
          <t>Categoría</t>
        </is>
      </c>
      <c r="C16" s="61" t="inlineStr">
        <is>
          <t>Scope</t>
        </is>
      </c>
      <c r="D16" s="61" t="inlineStr">
        <is>
          <t>CO2
(tCO2/año)</t>
        </is>
      </c>
      <c r="E16" s="61" t="inlineStr">
        <is>
          <t>CH4
(tCO2e/año)</t>
        </is>
      </c>
      <c r="F16" s="61" t="inlineStr">
        <is>
          <t>N2O
(tCO2e/año)</t>
        </is>
      </c>
      <c r="G16" s="61" t="inlineStr">
        <is>
          <t>TOTAL
tCO2e/año</t>
        </is>
      </c>
      <c r="H16" s="61" t="inlineStr">
        <is>
          <t>% del
total
emisiones</t>
        </is>
      </c>
      <c r="I16" s="61" t="inlineStr">
        <is>
          <t>Hoja de
Referencia</t>
        </is>
      </c>
      <c r="J16" s="61" t="inlineStr">
        <is>
          <t>Observaciones</t>
        </is>
      </c>
    </row>
    <row r="17" ht="20" customHeight="1">
      <c r="A17" s="21" t="inlineStr">
        <is>
          <t>SK-1</t>
        </is>
      </c>
      <c r="B17" s="62" t="inlineStr">
        <is>
          <t>Monte Nativo</t>
        </is>
      </c>
      <c r="C17" s="63" t="inlineStr">
        <is>
          <t>Sumidero</t>
        </is>
      </c>
      <c r="D17" s="28">
        <f>IFERROR(SUMIDEROS!H9,0)</f>
        <v/>
      </c>
      <c r="G17" s="28">
        <f>D17</f>
        <v/>
      </c>
      <c r="I17" s="57" t="inlineStr">
        <is>
          <t>SUMIDEROS</t>
        </is>
      </c>
      <c r="J17" s="5" t="n"/>
    </row>
    <row r="18" ht="20" customHeight="1">
      <c r="A18" s="21" t="inlineStr">
        <is>
          <t>SK-2</t>
        </is>
      </c>
      <c r="B18" s="62" t="inlineStr">
        <is>
          <t>Pasturas Implantadas</t>
        </is>
      </c>
      <c r="C18" s="63" t="inlineStr">
        <is>
          <t>Sumidero</t>
        </is>
      </c>
      <c r="D18" s="28">
        <f>IFERROR(SUMIDEROS!H17,0)</f>
        <v/>
      </c>
      <c r="G18" s="28">
        <f>D18</f>
        <v/>
      </c>
      <c r="I18" s="57" t="inlineStr">
        <is>
          <t>SUMIDEROS</t>
        </is>
      </c>
      <c r="J18" s="5" t="n"/>
    </row>
    <row r="19">
      <c r="A19" s="21" t="inlineStr">
        <is>
          <t>SUBTOTAL CAPTURAS (Sumideros)</t>
        </is>
      </c>
      <c r="G19" s="28">
        <f>SUM(G17:G18)</f>
        <v/>
      </c>
    </row>
    <row r="21" ht="30" customHeight="1">
      <c r="A21" s="64" t="inlineStr">
        <is>
          <t>HUELLA DE CARBONO NETA (Emisiones + Capturas)</t>
        </is>
      </c>
      <c r="G21" s="28">
        <f>G13+G19</f>
        <v/>
      </c>
      <c r="H21" s="65" t="inlineStr">
        <is>
          <t>tCO2e/año</t>
        </is>
      </c>
    </row>
    <row r="23">
      <c r="A23" s="3" t="inlineStr">
        <is>
          <t>TABLA 3 — INDICADORES DE INTENSIDAD (KPIs para Dashboard)</t>
        </is>
      </c>
    </row>
    <row r="24">
      <c r="A24" s="51" t="inlineStr">
        <is>
          <t>Código</t>
        </is>
      </c>
      <c r="B24" s="51" t="inlineStr">
        <is>
          <t>Indicador</t>
        </is>
      </c>
      <c r="C24" s="51" t="inlineStr">
        <is>
          <t>Fórmula / Valor [CALC]</t>
        </is>
      </c>
      <c r="D24" s="51" t="inlineStr">
        <is>
          <t>Unidad</t>
        </is>
      </c>
      <c r="E24" s="51" t="inlineStr">
        <is>
          <t>Valor ingresado (si aplica)</t>
        </is>
      </c>
      <c r="F24" s="51" t="inlineStr"/>
      <c r="G24" s="51" t="inlineStr"/>
      <c r="H24" s="51" t="inlineStr"/>
      <c r="I24" s="51" t="inlineStr"/>
      <c r="J24" s="51" t="inlineStr">
        <is>
          <t>Notas</t>
        </is>
      </c>
    </row>
    <row r="25" ht="20" customHeight="1">
      <c r="A25" s="66" t="inlineStr">
        <is>
          <t>KPI-01</t>
        </is>
      </c>
      <c r="B25" s="67" t="inlineStr">
        <is>
          <t>Intensidad por hectárea productiva</t>
        </is>
      </c>
      <c r="C25" s="28">
        <f>G21/900</f>
        <v/>
      </c>
      <c r="D25" s="68" t="inlineStr">
        <is>
          <t>tCO2e/ha</t>
        </is>
      </c>
      <c r="E25" s="5" t="n"/>
    </row>
    <row r="26" ht="20" customHeight="1">
      <c r="A26" s="69" t="inlineStr">
        <is>
          <t>KPI-02</t>
        </is>
      </c>
      <c r="B26" s="27" t="inlineStr">
        <is>
          <t>Intensidad de emisiones Scope 1</t>
        </is>
      </c>
      <c r="C26" s="28">
        <f>SUM(G6:G11)/G13*100</f>
        <v/>
      </c>
      <c r="D26" s="26" t="inlineStr">
        <is>
          <t>% sobre total</t>
        </is>
      </c>
      <c r="E26" s="5" t="n"/>
    </row>
    <row r="27" ht="20" customHeight="1">
      <c r="A27" s="66" t="inlineStr">
        <is>
          <t>KPI-03</t>
        </is>
      </c>
      <c r="B27" s="67" t="inlineStr">
        <is>
          <t>Intensidad de emisiones Scope 2</t>
        </is>
      </c>
      <c r="C27" s="28">
        <f>G12/G13*100</f>
        <v/>
      </c>
      <c r="D27" s="68" t="inlineStr">
        <is>
          <t>% sobre total</t>
        </is>
      </c>
      <c r="E27" s="5" t="n"/>
    </row>
    <row r="28" ht="20" customHeight="1">
      <c r="A28" s="69" t="inlineStr">
        <is>
          <t>KPI-04</t>
        </is>
      </c>
      <c r="B28" s="27" t="inlineStr">
        <is>
          <t>Proporción capturada por sumideros</t>
        </is>
      </c>
      <c r="C28" s="28">
        <f>IFERROR(ABS(G19)/G13*100,0)</f>
        <v/>
      </c>
      <c r="D28" s="26" t="inlineStr">
        <is>
          <t>% capturas/emisiones</t>
        </is>
      </c>
      <c r="E28" s="5" t="n"/>
    </row>
    <row r="29" ht="20" customHeight="1">
      <c r="A29" s="66" t="inlineStr">
        <is>
          <t>KPI-05</t>
        </is>
      </c>
      <c r="B29" s="67" t="inlineStr">
        <is>
          <t>Huella por cabeza ganadera (ingresar total cabezas)</t>
        </is>
      </c>
      <c r="C29" s="28">
        <f>IFERROR(G21/D28,0)</f>
        <v/>
      </c>
      <c r="D29" s="68" t="inlineStr">
        <is>
          <t>tCO2e/cabeza/año</t>
        </is>
      </c>
      <c r="E29" s="5" t="n"/>
    </row>
    <row r="30" ht="20" customHeight="1">
      <c r="A30" s="69" t="inlineStr">
        <is>
          <t>KPI-06</t>
        </is>
      </c>
      <c r="B30" s="27" t="inlineStr">
        <is>
          <t>Huella por tonelada de grano producida (ingresar prod.)</t>
        </is>
      </c>
      <c r="C30" s="28">
        <f>IFERROR(G21/E28,0)</f>
        <v/>
      </c>
      <c r="D30" s="26" t="inlineStr">
        <is>
          <t>tCO2e/t grano</t>
        </is>
      </c>
      <c r="E30" s="5" t="n"/>
    </row>
    <row r="31" ht="20" customHeight="1">
      <c r="A31" s="66" t="inlineStr">
        <is>
          <t>KPI-07</t>
        </is>
      </c>
      <c r="B31" s="67" t="inlineStr">
        <is>
          <t>Captura neta de sumideros (valor absoluto)</t>
        </is>
      </c>
      <c r="C31" s="28">
        <f>ABS(G19)</f>
        <v/>
      </c>
      <c r="D31" s="68" t="inlineStr">
        <is>
          <t>tCO2e capturas/año</t>
        </is>
      </c>
      <c r="E31" s="5" t="n"/>
    </row>
    <row r="32" ht="20" customHeight="1">
      <c r="A32" s="69" t="inlineStr">
        <is>
          <t>KPI-08</t>
        </is>
      </c>
      <c r="B32" s="27" t="inlineStr">
        <is>
          <t>Balance carbono (positivo = emisor neto)</t>
        </is>
      </c>
      <c r="C32" s="28">
        <f>G21</f>
        <v/>
      </c>
      <c r="D32" s="26" t="inlineStr">
        <is>
          <t>tCO2e neto/año</t>
        </is>
      </c>
      <c r="E32" s="5" t="n"/>
    </row>
    <row r="33">
      <c r="A33" s="10" t="inlineStr">
        <is>
          <t>DATOS AUXILIARES PARA KPIs (ingresar al final del período)</t>
        </is>
      </c>
    </row>
    <row r="34" ht="20" customHeight="1">
      <c r="A34" s="4" t="inlineStr">
        <is>
          <t>Total de cabezas de ganado (promedio anual)</t>
        </is>
      </c>
      <c r="B34" s="5" t="n"/>
      <c r="D34" s="33" t="inlineStr">
        <is>
          <t>cabezas</t>
        </is>
      </c>
      <c r="E34" s="33" t="inlineStr">
        <is>
          <t>Para KPI-05</t>
        </is>
      </c>
    </row>
    <row r="35" ht="20" customHeight="1">
      <c r="A35" s="4" t="inlineStr">
        <is>
          <t>Producción total de granos (t/año)</t>
        </is>
      </c>
      <c r="B35" s="5" t="n"/>
      <c r="D35" s="33" t="inlineStr">
        <is>
          <t>toneladas</t>
        </is>
      </c>
      <c r="E35" s="33" t="inlineStr">
        <is>
          <t>Para KPI-06</t>
        </is>
      </c>
    </row>
    <row r="36" ht="20" customHeight="1">
      <c r="A36" s="4" t="inlineStr">
        <is>
          <t>Litros de leche producidos (L/año)</t>
        </is>
      </c>
      <c r="B36" s="5" t="n"/>
      <c r="D36" s="33" t="inlineStr">
        <is>
          <t>litros/año</t>
        </is>
      </c>
      <c r="E36" s="33" t="inlineStr">
        <is>
          <t>Para tambo</t>
        </is>
      </c>
    </row>
    <row r="37" ht="20" customHeight="1">
      <c r="A37" s="4" t="inlineStr">
        <is>
          <t>Kg de carne producidos (kg res/año)</t>
        </is>
      </c>
      <c r="B37" s="5" t="n"/>
      <c r="D37" s="33" t="inlineStr">
        <is>
          <t>kg res/año</t>
        </is>
      </c>
      <c r="E37" s="33" t="inlineStr">
        <is>
          <t>Para feedlot</t>
        </is>
      </c>
    </row>
    <row r="38" ht="20" customHeight="1">
      <c r="A38" s="4" t="inlineStr">
        <is>
          <t>Ingresos totales del establecimiento ($/año)</t>
        </is>
      </c>
      <c r="B38" s="5" t="n"/>
      <c r="D38" s="33" t="inlineStr">
        <is>
          <t>$</t>
        </is>
      </c>
      <c r="E38" s="33" t="inlineStr">
        <is>
          <t>Opcional: para huella por $ facturado</t>
        </is>
      </c>
    </row>
  </sheetData>
  <mergeCells count="29">
    <mergeCell ref="A23:J23"/>
    <mergeCell ref="B30"/>
    <mergeCell ref="A4:J4"/>
    <mergeCell ref="D17:F17"/>
    <mergeCell ref="A21:C21"/>
    <mergeCell ref="E34:J34"/>
    <mergeCell ref="B32"/>
    <mergeCell ref="B26"/>
    <mergeCell ref="E36:J36"/>
    <mergeCell ref="B25"/>
    <mergeCell ref="D18:F18"/>
    <mergeCell ref="A15:J15"/>
    <mergeCell ref="B31"/>
    <mergeCell ref="B27"/>
    <mergeCell ref="E38:J38"/>
    <mergeCell ref="A1:J1"/>
    <mergeCell ref="E35:J35"/>
    <mergeCell ref="A13:C13"/>
    <mergeCell ref="A19:C19"/>
    <mergeCell ref="B38:C38"/>
    <mergeCell ref="B34:C34"/>
    <mergeCell ref="B37:C37"/>
    <mergeCell ref="E37:J37"/>
    <mergeCell ref="B29"/>
    <mergeCell ref="B36:C36"/>
    <mergeCell ref="B28"/>
    <mergeCell ref="A2:J2"/>
    <mergeCell ref="B35:C35"/>
    <mergeCell ref="A33:J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2026-06-09T19:27:46Z</dcterms:created>
  <dcterms:modified xmlns:dcterms="http://purl.org/dc/terms/" xmlns:xsi="http://www.w3.org/2001/XMLSchema-instance" xsi:type="dcterms:W3CDTF">2026-06-09T19:27:46Z</dcterms:modified>
</cp:coreProperties>
</file>